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AUTOMAÇÃO DE ATETSTADOS DE ENGE" sheetId="2" r:id="rId6"/>
    <sheet state="visible" name="INFRAESTRUTURA" sheetId="3" r:id="rId7"/>
    <sheet state="visible" name="ÁGUA" sheetId="4" r:id="rId8"/>
    <sheet state="visible" name="ENERGIA" sheetId="5" r:id="rId9"/>
    <sheet state="visible" name="ELABORAÇÃO DE PROJETO" sheetId="6" r:id="rId10"/>
    <sheet state="visible" name="SUPERVISÃOFISCALIZAÇÃO" sheetId="7" r:id="rId11"/>
    <sheet state="visible" name="ACOMPANHAMENTO E GERENCIAMENTO" sheetId="8" r:id="rId12"/>
  </sheets>
  <definedNames/>
  <calcPr/>
</workbook>
</file>

<file path=xl/sharedStrings.xml><?xml version="1.0" encoding="utf-8"?>
<sst xmlns="http://schemas.openxmlformats.org/spreadsheetml/2006/main" count="1038" uniqueCount="277">
  <si>
    <t>AUTOMAÇÃO DE ATESTADOS DE ENGENHARIA - PÓRTICO 2.0</t>
  </si>
  <si>
    <t>PROFISSIONAL</t>
  </si>
  <si>
    <t>Fonte: pasta ACERVOS PORTICOS, subpastas PÓRTICO e DR. FRANCISCO FERRAZ. Dados extraídos dos títulos, metadados e trechos OCR/best-effort do Google Drive.</t>
  </si>
  <si>
    <t>FUNÇÃO DO PROFISSIONAL</t>
  </si>
  <si>
    <t>TÍTULO DO ATESTADO (OBRA)</t>
  </si>
  <si>
    <t>VALOR DA OBRA</t>
  </si>
  <si>
    <t>VALOR TRABALHADO</t>
  </si>
  <si>
    <t>TIPO DE SERVIÇO</t>
  </si>
  <si>
    <t xml:space="preserve">SERVIÇOS QUANTIFICADOS </t>
  </si>
  <si>
    <t>Subdivisão</t>
  </si>
  <si>
    <t>Nº DO ATESTADO</t>
  </si>
  <si>
    <t xml:space="preserve">LINK DO DOCUMENTO </t>
  </si>
  <si>
    <t>Qtd. Registros</t>
  </si>
  <si>
    <t>Principal foco</t>
  </si>
  <si>
    <t>SUBDIVISÕES</t>
  </si>
  <si>
    <t>Observação</t>
  </si>
  <si>
    <t>PASTA/FONTE</t>
  </si>
  <si>
    <t>Data de geração</t>
  </si>
  <si>
    <t>OBSERVAÇÃO TÉCNICA / TRECHO BASE</t>
  </si>
  <si>
    <t>Total geral</t>
  </si>
  <si>
    <t>LINK INFORMADO?</t>
  </si>
  <si>
    <t>RONALDO PATRIOTA COTA</t>
  </si>
  <si>
    <t>INFRAESTRUTURA</t>
  </si>
  <si>
    <t>Nº ATESTADO INFORMADO?</t>
  </si>
  <si>
    <t>Edificações, pavimentação, contenção e obras urbanas</t>
  </si>
  <si>
    <t>RESPONSÁVEL TÉCNICO</t>
  </si>
  <si>
    <t>Maior concentração de atestados identificados.</t>
  </si>
  <si>
    <t>EDIFÍCIO RESIDENCIAL SAN MARTIN</t>
  </si>
  <si>
    <t>07/07/2026</t>
  </si>
  <si>
    <t>R$ 1.000.000,00</t>
  </si>
  <si>
    <t>---</t>
  </si>
  <si>
    <t>EXECUÇÃO DE OBRA / EDIFICAÇÃO</t>
  </si>
  <si>
    <t>ÁGUA</t>
  </si>
  <si>
    <t>ART OBRA/SERVIÇO; edifício residencial; contratante Annellu Empreendimentos Imobiliários Ltda.</t>
  </si>
  <si>
    <t>657369/2015</t>
  </si>
  <si>
    <t>SAA, adutoras, SES, saneamento</t>
  </si>
  <si>
    <t>SISTEMA DE ABASTECIMENTO D'ÁGUA - LAGOA DA CANOA/AL</t>
  </si>
  <si>
    <t>https://drive.google.com/file/d/1qHaMx3lm0Lsank6syYARHyiqJNLR_f8f</t>
  </si>
  <si>
    <t>Inclui registros com e sem CAT.</t>
  </si>
  <si>
    <t>ACERVOS PORTICOS / PÓRTICO</t>
  </si>
  <si>
    <t>EXECUÇÃO DE SISTEMA DE ABASTECIMENTO DE ÁGUA</t>
  </si>
  <si>
    <t>Trecho-base: ART OBRA/SERVIÇO; profissional Ronaldo Patriota Cota; empresa Pórtico Construções Ltda.; valor R$ 1.000.000,00.</t>
  </si>
  <si>
    <t>ENERGIA</t>
  </si>
  <si>
    <t>Sistema de abastecimento d'água nos Povoados Mata Limpa, Capim e Pau D'Arco.</t>
  </si>
  <si>
    <t>418/1998</t>
  </si>
  <si>
    <t>FRANCISCO DE SOUZA FERRAZ</t>
  </si>
  <si>
    <t>Elétrica/energia</t>
  </si>
  <si>
    <t>ENGENHEIRO CIVIL / EQUIPE</t>
  </si>
  <si>
    <t>https://drive.google.com/file/d/199thLNKd7ba59YmqujHcYdZ_qa-rAacA</t>
  </si>
  <si>
    <t>Não foram identificados registros específicos de energia nesta varredura.</t>
  </si>
  <si>
    <t>PRAÇA DO TRABALHADOR - PORTO SEGURO/BA</t>
  </si>
  <si>
    <t>R$ 11.305.020,41</t>
  </si>
  <si>
    <t>Atividade em andamento</t>
  </si>
  <si>
    <t>OBRA/SERVIÇO - INFRAESTRUTURA URBANA</t>
  </si>
  <si>
    <t>CAT nº 418/98; ART nº 49946; execução de sistema de abastecimento d'água.</t>
  </si>
  <si>
    <t>ELABORAÇÃO DE PROJETO</t>
  </si>
  <si>
    <t>Contrato nº CP 05/2023 - SEPROJE; Praça do Trabalhador; Bairro Baianão; Porto Seguro/BA.</t>
  </si>
  <si>
    <t>260226/2024</t>
  </si>
  <si>
    <t>Projeto e execução</t>
  </si>
  <si>
    <t>https://drive.google.com/file/d/17rK2QRweF4Md1DxJ0uITsppPudFahd2N</t>
  </si>
  <si>
    <t>Registros com menção expressa a projeto.</t>
  </si>
  <si>
    <t>INFRAESTRUTURA; ACOMPANHAMENTO E GERENCIAMENTO</t>
  </si>
  <si>
    <t>AMPLIAÇÃO DO SISTEMA DE ABASTECIMENTO DE ÁGUA - MASSAGUEIRA/AL</t>
  </si>
  <si>
    <t>CAT com registro de atestado; ART BA20240952057; contratante Prefeitura Municipal de Porto Seguro.</t>
  </si>
  <si>
    <t>SUPERVISÃOFISCALIZAÇÃO</t>
  </si>
  <si>
    <t>ENGENHEIRO CIVIL / RESPONSABILIDADE INDIVIDUAL</t>
  </si>
  <si>
    <t>SERVIÇOS EM DIVERSAS LOCALIDADES - PORTO SEGURO/BA</t>
  </si>
  <si>
    <t>Supervisão/fiscalização</t>
  </si>
  <si>
    <t>R$ 8.759.031,25</t>
  </si>
  <si>
    <t>Não foram identificados registros expressos nesta varredura.</t>
  </si>
  <si>
    <t>Ampliação do sistema de abastecimento de água na localidade de Massagueira, Marechal Deodoro/AL.</t>
  </si>
  <si>
    <t>334/2001</t>
  </si>
  <si>
    <t>Sede e distritos de Vera Cruz, Trancoso, Pindorama e Arraial d'Ajuda.</t>
  </si>
  <si>
    <t>https://drive.google.com/file/d/1dbDM59y60rx_HPdm32xDU68bRugmwv_M</t>
  </si>
  <si>
    <t>279902/2025</t>
  </si>
  <si>
    <t>ACOMPANHAMENTO E GERENCIAMENTO</t>
  </si>
  <si>
    <t>https://drive.google.com/file/d/1DU-L9Sp1xO76ueqsTWcIM42f0Ych3YVv</t>
  </si>
  <si>
    <t>Acompanhamento/gerenciamento</t>
  </si>
  <si>
    <t>Registros em andamento/consórcio e serviços de natureza gerencial quando identificados.</t>
  </si>
  <si>
    <t>CAT com registro de atestado; ART BA20240939205; Consórcio Pórtico-Artec Porto 2.</t>
  </si>
  <si>
    <t>CAT nº 334/2001; ART nº 088651; ampliação de SAA.</t>
  </si>
  <si>
    <t>RECUPERAÇÃO FUNCIONAL DE PAVIMENTOS - VITÓRIA/ES</t>
  </si>
  <si>
    <t>SISTEMA DE ESGOTAMENTO SANITÁRIO - LAGOA DE SÃO JOSÉ/PE</t>
  </si>
  <si>
    <t>Observação: para uso em habilitação, recomenda-se abrir o PDF pelo link e confirmar o inteiro teor do atestado, principalmente nos documentos com OCR parcial ou baixa legibilidade.</t>
  </si>
  <si>
    <t>EXECUÇÃO DE OBRA - RODOVIAS / PAVIMENTAÇÃO</t>
  </si>
  <si>
    <t>Pavimentação CBUQ 111.747,00 t; pintura termoplástica 39.458,00 m²; remendo asfáltico 58.203,00 m²; meio-fio 35.074,00 m.</t>
  </si>
  <si>
    <t>939/2025</t>
  </si>
  <si>
    <t>EXECUÇÃO DE SISTEMA DE ESGOTAMENTO SANITÁRIO</t>
  </si>
  <si>
    <t>https://drive.google.com/file/d/1jBV0NpIM-zYZUeYwGUiJJv6NG8srEg6Y</t>
  </si>
  <si>
    <t>Execução das obras do sistema de esgotamento sanitário do Povoado Lagoa de São José, Bom Conselho/PE.</t>
  </si>
  <si>
    <t>308/2007</t>
  </si>
  <si>
    <t>Resumo do contrato: recuperação funcional de pavimentos no Município de Vitória/ES, Lote 01.</t>
  </si>
  <si>
    <t>https://drive.google.com/file/d/1uc7byZmjktJ0UT5tM1cETvlAzCXFBqtP</t>
  </si>
  <si>
    <t>CONSTRUÇÃO DE GINÁSIO POLIESPORTIVO - PILAR/AL</t>
  </si>
  <si>
    <t>CAT nº 308/2007; ART nº 085057; saneamento/esgotamento sanitário.</t>
  </si>
  <si>
    <t>EXECUÇÃO DE OBRA - EDIFICAÇÃO PÚBLICA</t>
  </si>
  <si>
    <t>Construção de ginásio poliesportivo em Pilar/AL.</t>
  </si>
  <si>
    <t>419/1998</t>
  </si>
  <si>
    <t>IMPLANTAÇÃO DE ADUTORAS - ALAGOAS</t>
  </si>
  <si>
    <t>https://drive.google.com/file/d/1zkKU4ZHGgUA8uT7jRJNxzvkoOaLRs4GI</t>
  </si>
  <si>
    <t>CAT nº 419/98; ART nº 49948; execução pela empresa Pórtico Construções Ltda.</t>
  </si>
  <si>
    <t>EXECUÇÃO DE ADUTORAS / ABASTECIMENTO DE ÁGUA</t>
  </si>
  <si>
    <t>Implantação de adutoras para sistemas de abastecimento de água em Porto Real do Colégio e Feliz Deserto/AL.</t>
  </si>
  <si>
    <t>GUARITAS, PAVIMENTAÇÃO EXTERNA E RECUPERAÇÕES - MACEIÓ/AL</t>
  </si>
  <si>
    <t>066/2003</t>
  </si>
  <si>
    <t>https://drive.google.com/file/d/12PyRqXCZR9RBve0sj8df3SwlP_B9yVvR</t>
  </si>
  <si>
    <t>EXECUÇÃO DE OBRA / REFORMA / PAVIMENTAÇÃO</t>
  </si>
  <si>
    <t>Construção de duas guaritas com portões externos, pavimentação externa e recuperação de almoxarifado/farmácia.</t>
  </si>
  <si>
    <t>412/2001</t>
  </si>
  <si>
    <t>Atestado técnico CODEVASF; objeto: implantação de adutoras para sistemas de abastecimento de água.</t>
  </si>
  <si>
    <t>https://drive.google.com/file/d/16f5A0bHQ8bKVfHKHbAacg0blyDK3vkys</t>
  </si>
  <si>
    <t>CAT nº 412/2001; ART nº 026611; Fundação de Saúde do Estado de Alagoas - FUSAL.</t>
  </si>
  <si>
    <t>ESGOTAMENTO SANITÁRIO DO CAMARTELO E ADJACÊNCIAS - PENEDO/AL</t>
  </si>
  <si>
    <t>NOVO MERCADO PÚBLICO - CORURIPE/AL</t>
  </si>
  <si>
    <t>11.862,50 m²</t>
  </si>
  <si>
    <t>EXECUÇÃO DE OBRA - GALPÕES PRÉ-MOLDADOS</t>
  </si>
  <si>
    <t>EXECUÇÃO DE ESGOTAMENTO SANITÁRIO</t>
  </si>
  <si>
    <t>Construção do Novo Mercado Público em galpões de concreto pré-moldados com 11.862,50 m² de área construída.</t>
  </si>
  <si>
    <t>Esgotamento sanitário do Camartelo e adjacências, Município de Penedo/AL.</t>
  </si>
  <si>
    <t>306/2007</t>
  </si>
  <si>
    <t>047/1999</t>
  </si>
  <si>
    <t>https://drive.google.com/file/d/1wrFA3uFK2NAwC62RBhxvPSga6mvVkhmu</t>
  </si>
  <si>
    <t>https://drive.google.com/file/d/1ACMtCSasyxGma-_TMTE76hu_jHhA3ln4</t>
  </si>
  <si>
    <t>CAT nº 306/2007; execução de edificação pública em concreto pré-moldado.</t>
  </si>
  <si>
    <t>CAT nº 047/99; ART nº 49944; esgotamento sanitário.</t>
  </si>
  <si>
    <t>CENTRO CATEQUÉTICO E REFORMA DE PARQUE AQUÁTICO</t>
  </si>
  <si>
    <t>REFORMAS, RECUPERAÇÕES E SISTEMAS PREDIAIS - ALAGOAS</t>
  </si>
  <si>
    <t>REFORMA / RECUPERAÇÃO / SANEAMENTO PREDIAL</t>
  </si>
  <si>
    <t>Recuperação de escola; reforma/recuperação de abastecimento d'água e esgotamento sanitário de hospital; reformas diversas.</t>
  </si>
  <si>
    <t>034/1995</t>
  </si>
  <si>
    <t>1.749,96 m²</t>
  </si>
  <si>
    <t>https://drive.google.com/file/d/1bQHF3mAKSSHj13ZI3_xZU3unyQTHEJzg</t>
  </si>
  <si>
    <t>INFRAESTRUTURA; ÁGUA</t>
  </si>
  <si>
    <t>EXECUÇÃO DE OBRA / REFORMA</t>
  </si>
  <si>
    <t>Construção do Centro Catequético do Colégio Marista com 1.749,96 m² e reforma de parque aquático.</t>
  </si>
  <si>
    <t>CAT nº 034/95; conjunto de ARTs envolvendo edificações e sistemas de água/esgoto.</t>
  </si>
  <si>
    <t>291/2006</t>
  </si>
  <si>
    <t>https://drive.google.com/file/d/1uYCDmLVRY-TZSsFrSpPlsiNlJnwy2jsq</t>
  </si>
  <si>
    <t>CAT nº 291/2006; construção e reforma em edificações.</t>
  </si>
  <si>
    <t>SERVIÇOS COMPLEMENTARES DO SES DA BACIA DO PAJUÇARA</t>
  </si>
  <si>
    <t>R$ 10.017.914,83</t>
  </si>
  <si>
    <t>ESCOLA DE EDUCAÇÃO INFANTIL - CORURIPE/AL</t>
  </si>
  <si>
    <t>EXECUÇÃO DE OBRA - EDIFICAÇÃO ESCOLAR</t>
  </si>
  <si>
    <t>Construção de 01 escola de educação infantil no Município de Coruripe/AL.</t>
  </si>
  <si>
    <t>EXECUÇÃO DE OBRAS - ESGOTAMENTO SANITÁRIO</t>
  </si>
  <si>
    <t>233/2006</t>
  </si>
  <si>
    <t>https://drive.google.com/file/d/1usc4bKXdR0klQRFl4DX1g9cIYXSniB7Z</t>
  </si>
  <si>
    <t>Serviços complementares do sistema de esgotamento sanitário da Bacia do Pajuçara.</t>
  </si>
  <si>
    <t>SEM CAT</t>
  </si>
  <si>
    <t>https://drive.google.com/file/d/1pQW_cS82YhdnpNlvYyNzr3XauUjvUHAn</t>
  </si>
  <si>
    <t>CAT nº 233/2006; construção de edificação escolar.</t>
  </si>
  <si>
    <t>ACERVOS PORTICOS / DR. FRANCISCO FERRAZ</t>
  </si>
  <si>
    <t>PAVIMENTAÇÃO EM PARALELEPÍPEDOS - DIVERSOS MUNICÍPIOS/AL</t>
  </si>
  <si>
    <t>Atestado sem CAT; atestado de execução de obras; valor aproximado conforme OCR.</t>
  </si>
  <si>
    <t>EXECUÇÃO DE PAVIMENTAÇÃO</t>
  </si>
  <si>
    <t>Pavimentação em paralelepípedos em diversas localidades do Estado de Alagoas.</t>
  </si>
  <si>
    <t>ENGENHEIRO CIVIL</t>
  </si>
  <si>
    <t>065/2003</t>
  </si>
  <si>
    <t>https://drive.google.com/file/d/1QwZZF8HpY7_zzs5kqzOWBl8-4fhs8iMH</t>
  </si>
  <si>
    <t>SANEAMENTO - REGIÃO BAIXA/JATIÚCA - MACEIÓ/AL</t>
  </si>
  <si>
    <t>R$ 10.399.910,63</t>
  </si>
  <si>
    <t>1.000,00 m³</t>
  </si>
  <si>
    <t>CAT nº 065/2003; execução de pavimentação em paralelepípedos.</t>
  </si>
  <si>
    <t>EXECUÇÃO / SANEAMENTO</t>
  </si>
  <si>
    <t>Atuação em saneamento; dimensão do trabalho indicada como 1.000,00 m³.</t>
  </si>
  <si>
    <t>HOSPITAL DIA - MACEIÓ/AL</t>
  </si>
  <si>
    <t>673359/2017</t>
  </si>
  <si>
    <t>https://drive.google.com/file/d/1ZNN_A4IIiRoPp0lqdNG_7p3IHnWRuDsa</t>
  </si>
  <si>
    <t>EXECUÇÃO DE OBRA - EDIFICAÇÃO DE SAÚDE</t>
  </si>
  <si>
    <t>Obras e serviços de construção do Hospital Dia no Município de Maceió/AL.</t>
  </si>
  <si>
    <t>045/2004</t>
  </si>
  <si>
    <t>CAT com registro de atestado; atividade concluída; contratante Engenharia de Materiais Ltda.</t>
  </si>
  <si>
    <t>https://drive.google.com/file/d/1fwk5Q9ky4z5RpwP68wprROVyilY0dcGI</t>
  </si>
  <si>
    <t>CAT nº 045/2004; construção de unidade de saúde.</t>
  </si>
  <si>
    <t>ESTAÇÃO ELEVATÓRIA - ADUTORA DO AGRESTE</t>
  </si>
  <si>
    <t>ESCOLA DE ENSINO MÉDIO - SANTANA DO IPANEMA/AL</t>
  </si>
  <si>
    <t>50.000 litros</t>
  </si>
  <si>
    <t>EXECUÇÃO DE ESTAÇÃO ELEVATÓRIA / ADUTORA</t>
  </si>
  <si>
    <t>Construção de estação elevatória com capacidade para 50.000 litros de água tratada, Adutora do Agreste, Arapiraca/AL.</t>
  </si>
  <si>
    <t>250/2001</t>
  </si>
  <si>
    <t>Construção de escola de ensino médio no Município de Santana do Ipanema/AL.</t>
  </si>
  <si>
    <t>https://drive.google.com/file/d/17nNEytSeXm8Tf9LiVG2yt-_tM97DKOrD</t>
  </si>
  <si>
    <t>042/2004</t>
  </si>
  <si>
    <t>https://drive.google.com/file/d/1_ulhYYZ-qHh9Ji847VcHv85XWIUI_HwY</t>
  </si>
  <si>
    <t>CAT nº 250/2001; estação elevatória para água tratada.</t>
  </si>
  <si>
    <t>CAT nº 042/2004; construção de edificação escolar.</t>
  </si>
  <si>
    <t>REFORMA E AMPLIAÇÃO DE CENTRAL DE IMUNOBIOLÓGICO - MACEIÓ/AL</t>
  </si>
  <si>
    <t>SANEAMENTO - STELLA MARES E ADJACÊNCIAS - MACEIÓ/AL</t>
  </si>
  <si>
    <t>REFORMA E AMPLIAÇÃO - EDIFICAÇÃO</t>
  </si>
  <si>
    <t>Reforma e ampliação da Central Estadual de Armazenamento de Imunobiológico.</t>
  </si>
  <si>
    <t>041/2004</t>
  </si>
  <si>
    <t>https://drive.google.com/file/d/1U0YDA2cC-UF2Xshd64hM4O542Wc567Ou</t>
  </si>
  <si>
    <t>Atuação em saneamento em Stella Mares e adjacências; dimensão do trabalho 1.000,00 m³.</t>
  </si>
  <si>
    <t>75715/2012</t>
  </si>
  <si>
    <t>CAT nº 041/2004; reforma e ampliação de edificação pública.</t>
  </si>
  <si>
    <t>https://drive.google.com/file/d/16lsTNi2KuuktTnnJ92Nq_2LRO3V9GqTr</t>
  </si>
  <si>
    <t>REFORMA E AMPLIAÇÃO DA ESCOLA LIMA CASTRO - CORURIPE/AL</t>
  </si>
  <si>
    <t>CAT WEB-75715/2012; saneamento; contratante Secretaria de Estado da Infraestrutura/AL.</t>
  </si>
  <si>
    <t>REFORMA E AMPLIAÇÃO - EDIFICAÇÃO ESCOLAR</t>
  </si>
  <si>
    <t>Serviços de reforma e ampliação da Escola Lima Castro, Distrito de Pindorama, Coruripe/AL.</t>
  </si>
  <si>
    <t>040/2004</t>
  </si>
  <si>
    <t>https://drive.google.com/file/d/16MeQbkavBItQILKSmkcOTB4uu3jbcEEg</t>
  </si>
  <si>
    <t>CAT nº 040/2004; reforma/ampliação escolar.</t>
  </si>
  <si>
    <t>MURO DE CONTENÇÃO, GALERIAS E TERRAPLENAGEM - PILAR/AL</t>
  </si>
  <si>
    <t>CONTENÇÃO / GALERIAS / TERRAPLENAGEM</t>
  </si>
  <si>
    <t>Recuperação e complementação de muro de contenção, muros das galerias e terraplenagem na orla lagunar de Pilar/AL.</t>
  </si>
  <si>
    <t>009/1999</t>
  </si>
  <si>
    <t>https://drive.google.com/file/d/1bNw6bnnJg1cb0EaW5m42Oywj3Agp8goV</t>
  </si>
  <si>
    <t>CAT nº 009/99; contenção, galerias e terraplenagem.</t>
  </si>
  <si>
    <t>AMPLIAÇÃO/REFORMA DE ESCOLA E PRÉDIO DO INSS - ALAGOAS</t>
  </si>
  <si>
    <t>REFORMA / AMPLIAÇÃO - EDIFICAÇÕES</t>
  </si>
  <si>
    <t>Ampliação, reforma e recuperação de escola; reforma e melhoria de prédio do INSS.</t>
  </si>
  <si>
    <t>337/1997</t>
  </si>
  <si>
    <t>https://drive.google.com/file/d/1q2jHRyHTnKuRJhknZF29E2NMqA25jZns</t>
  </si>
  <si>
    <t>CAT nº 337/97; edificações públicas e institucionais.</t>
  </si>
  <si>
    <t>REFORMA DA EPG JUVENAL LOPES DE OMENA - BRANQUINHA/AL</t>
  </si>
  <si>
    <t>REFORMA - EDIFICAÇÃO ESCOLAR</t>
  </si>
  <si>
    <t>Reforma da EPG Juvenal Lopes de Omena, Branquinha/AL.</t>
  </si>
  <si>
    <t>275/1998</t>
  </si>
  <si>
    <t>https://drive.google.com/file/d/1c7rkaCJ9f1XO2tyC0THt_08UlyAHwklO</t>
  </si>
  <si>
    <t>CAT nº 275/98; reforma de edificação escolar.</t>
  </si>
  <si>
    <t>CONSTRUÇÃO EM COLUNAS/VIGAS E SISTEMA PREDIAL</t>
  </si>
  <si>
    <t>EXECUÇÃO DE OBRA - EDIFICAÇÃO</t>
  </si>
  <si>
    <t>OCR parcial indica construção em colunas/vigas e componentes em concreto; requer conferência integral do PDF para quantitativos.</t>
  </si>
  <si>
    <t>001266/1999</t>
  </si>
  <si>
    <t>https://drive.google.com/file/d/1uMojC6lCpBzJTVVAV4HLxMz5h5fCq4Ot</t>
  </si>
  <si>
    <t>Registro extraído de OCR com baixa legibilidade; manter como referência até conferência manual integral.</t>
  </si>
  <si>
    <t>GALPÃO EM ESTRUTURA METÁLICA E ALVENARIA - MACEIÓ/AL</t>
  </si>
  <si>
    <t>805,00 m²</t>
  </si>
  <si>
    <t>EXECUÇÃO DE OBRA - ESTRUTURA METÁLICA / ALVENARIA</t>
  </si>
  <si>
    <t>Construção de galpão em estrutura metálica e alvenaria com 805,00 m² de área coberta.</t>
  </si>
  <si>
    <t>275/2001</t>
  </si>
  <si>
    <t>https://drive.google.com/file/d/1H0b-wmFH4L07OWf7vjIf2PQ0KmjzYvZF</t>
  </si>
  <si>
    <t>CAT nº 275/2001; galpão com estrutura metálica e alvenaria.</t>
  </si>
  <si>
    <t>EDIFÍCIOS RESIDENCIAIS - CRUZ DAS ALMAS/MACEIÓ</t>
  </si>
  <si>
    <t>9.558,34 m²</t>
  </si>
  <si>
    <t>EXECUÇÃO DE OBRA - EDIFICAÇÕES RESIDENCIAIS</t>
  </si>
  <si>
    <t>Construção de 02 edifícios com 9.558,34 m², de condomínio residencial com área total de 28.675,04 m².</t>
  </si>
  <si>
    <t>295/2001</t>
  </si>
  <si>
    <t>https://drive.google.com/file/d/1ko5I7vU6N9LM_jQ9wWCkIKojxyb9MGs5</t>
  </si>
  <si>
    <t>CAT nº 295/2001; edificações residenciais verticais.</t>
  </si>
  <si>
    <t>150 UNIDADES HABITACIONAIS - UNIÃO DOS PALMARES/AL</t>
  </si>
  <si>
    <t>150 unidades</t>
  </si>
  <si>
    <t>EXECUÇÃO DE OBRA - HABITAÇÃO</t>
  </si>
  <si>
    <t>Construção de 150 unidades habitacionais no Município de União dos Palmares/AL.</t>
  </si>
  <si>
    <t>145/2001</t>
  </si>
  <si>
    <t>https://drive.google.com/file/d/1oNQ7YTgK6CRN2zys1zv2bSk9D60lAvJq</t>
  </si>
  <si>
    <t>CAT nº 145/2001; obras habitacionais.</t>
  </si>
  <si>
    <t>PROJETO E EXECUÇÃO DE PRÉDIO RESIDENCIAL - JATIÚCA/MACEIÓ</t>
  </si>
  <si>
    <t>PROJETO E EXECUÇÃO - EDIFICAÇÃO RESIDENCIAL</t>
  </si>
  <si>
    <t>Projeto e execução de prédio residencial na Rua Rafael Pherrelli, Loteamento Stella Maris, Jatiúca, Maceió/AL.</t>
  </si>
  <si>
    <t>021/2001</t>
  </si>
  <si>
    <t>https://drive.google.com/file/d/1cyxq_Jxb7q4prHhhm3qlHzkFlPdr7Jcl</t>
  </si>
  <si>
    <t>INFRAESTRUTURA; ELABORAÇÃO DE PROJETO</t>
  </si>
  <si>
    <t>CAT nº 021/2001; contempla projeto e execução.</t>
  </si>
  <si>
    <t>DOIS PRÉDIOS DE APARTAMENTOS - PONTA VERDE/MACEIÓ</t>
  </si>
  <si>
    <t>Construção de dois prédios de apartamentos residenciais na Ponta Verde, Maceió/AL.</t>
  </si>
  <si>
    <t>082/2001</t>
  </si>
  <si>
    <t>https://drive.google.com/file/d/1pPJFOdB81WRXYmPdCVdfB5RkWIwe9QS2</t>
  </si>
  <si>
    <t>CAT nº 082/2001; edifícios residenciais.</t>
  </si>
  <si>
    <t>PROJETO E EXECUÇÃO DE EDIFÍCIOS RESIDENCIAIS - MACEIÓ/AL</t>
  </si>
  <si>
    <t>Projeto e execução do Edifício Residencial Eça de Queiroz e execução dos projetos de edifício residencial na Rua José Sampaio Luz.</t>
  </si>
  <si>
    <t>225/2001</t>
  </si>
  <si>
    <t>https://drive.google.com/file/d/14yNkiw0eEOPS0SvXqTBRuiCJmOgbVJCZ</t>
  </si>
  <si>
    <t>CAT nº 225/2001; contempla projeto e execução de edificações.</t>
  </si>
  <si>
    <t>REFORMA DE PRÉDIOS INDUSTRIAIS - PROFERTIL/AL</t>
  </si>
  <si>
    <t>REFORMA - EDIFICAÇÃO INDUSTRIAL</t>
  </si>
  <si>
    <t>Reforma do prédio de faturamento e da oficina mecânica da Fábrica Profertil.</t>
  </si>
  <si>
    <t>232/2001</t>
  </si>
  <si>
    <t>https://drive.google.com/file/d/1blpKruDWddhsYNEk9hSTSzVe1iHWRDSX</t>
  </si>
  <si>
    <t>CAT nº 232/2001; reforma de edificação industrial.</t>
  </si>
  <si>
    <t>SEM REGISTROS ESPECÍFICOS IDENTIFICADOS PARA ENERGIA</t>
  </si>
  <si>
    <t>Não foram localizados, nesta varredura, atestados com menção expressa compatível com esta subdivisão.</t>
  </si>
  <si>
    <t>ACERVOS PORTICOS</t>
  </si>
  <si>
    <t>Aba mantida para compatibilidade com o modelo de automação entregue.</t>
  </si>
  <si>
    <t>SEM REGISTROS ESPECÍFICOS IDENTIFICADOS PARA SUPERVISÃOFISCALIZAÇÃO</t>
  </si>
  <si>
    <t>SUPERVISÃO/FISCALIZAÇÃO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</si>
</sst>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4.0"/>
      <color rgb="FFFFFFFF"/>
      <name val="Carlito"/>
    </font>
    <font>
      <b/>
      <sz val="11.0"/>
      <color rgb="FFFFFFFF"/>
      <name val="Carlito"/>
    </font>
    <font>
      <i/>
      <sz val="11.0"/>
      <color rgb="FF1F4E78"/>
      <name val="Carlito"/>
    </font>
    <font>
      <sz val="11.0"/>
      <color theme="1"/>
      <name val="Carlito"/>
    </font>
    <font>
      <b/>
      <sz val="11.0"/>
      <color rgb="FF9C5700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FCE4D6"/>
        <bgColor rgb="FFFCE4D6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shrinkToFit="0" wrapText="1"/>
    </xf>
    <xf borderId="0" fillId="2" fontId="2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vertical="top" wrapText="1"/>
    </xf>
    <xf borderId="0" fillId="4" fontId="5" numFmtId="0" xfId="0" applyAlignment="1" applyFill="1" applyFont="1">
      <alignment shrinkToFit="0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</dxfs>
  <tableStyles count="8">
    <tableStyle count="3" pivot="0" name="RESUMO-style">
      <tableStyleElement dxfId="1" type="headerRow"/>
      <tableStyleElement dxfId="2" type="firstRowStripe"/>
      <tableStyleElement dxfId="3" type="secondRowStripe"/>
    </tableStyle>
    <tableStyle count="3" pivot="0" name="ÁGUA-style">
      <tableStyleElement dxfId="1" type="headerRow"/>
      <tableStyleElement dxfId="2" type="firstRowStripe"/>
      <tableStyleElement dxfId="3" type="secondRowStripe"/>
    </tableStyle>
    <tableStyle count="3" pivot="0" name="AUTOMAÇÃO DE ATETSTADOS DE ENGE-style">
      <tableStyleElement dxfId="1" type="headerRow"/>
      <tableStyleElement dxfId="2" type="firstRowStripe"/>
      <tableStyleElement dxfId="3" type="secondRowStripe"/>
    </tableStyle>
    <tableStyle count="3" pivot="0" name="INFRAESTRUTURA-style">
      <tableStyleElement dxfId="1" type="headerRow"/>
      <tableStyleElement dxfId="2" type="firstRowStripe"/>
      <tableStyleElement dxfId="3" type="secondRowStripe"/>
    </tableStyle>
    <tableStyle count="3" pivot="0" name="ENERGIA-style">
      <tableStyleElement dxfId="1" type="headerRow"/>
      <tableStyleElement dxfId="2" type="firstRowStripe"/>
      <tableStyleElement dxfId="3" type="secondRowStripe"/>
    </tableStyle>
    <tableStyle count="3" pivot="0" name="ELABORAÇÃO DE PROJETO-style">
      <tableStyleElement dxfId="1" type="headerRow"/>
      <tableStyleElement dxfId="2" type="firstRowStripe"/>
      <tableStyleElement dxfId="3" type="secondRowStripe"/>
    </tableStyle>
    <tableStyle count="3" pivot="0" name="SUPERVISÃOFISCALIZAÇÃO-style">
      <tableStyleElement dxfId="1" type="headerRow"/>
      <tableStyleElement dxfId="2" type="firstRowStripe"/>
      <tableStyleElement dxfId="3" type="secondRowStripe"/>
    </tableStyle>
    <tableStyle count="3" pivot="0" name="ACOMPANHAMENTO E GERENCIAMENT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F10" displayName="Table_2" name="Table_2" id="3">
  <tableColumns count="6">
    <tableColumn name="Subdivisão" id="1"/>
    <tableColumn name="Qtd. Registros" id="2"/>
    <tableColumn name="Principal foco" id="3"/>
    <tableColumn name="Observação" id="4"/>
    <tableColumn name="Data de geração" id="5"/>
    <tableColumn name="Total geral" id="6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1:M36" displayName="Table_3" name="Table_3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UTOMAÇÃO DE ATETSTADOS DE ENG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M27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INFRAESTRUTUR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M11" displayName="Table_4" name="Table_4" id="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ÁGU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M2" displayName="Table_5" name="Table_5" id="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ENERGI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M3" displayName="Table_6" name="Table_6" id="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ELABORAÇÃO DE PROJET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M2" displayName="Table_7" name="Table_7" id="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UPERVISÃOFISCALIZAÇÃ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:M3" displayName="Table_8" name="Table_8" id="8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ACOMPANHAMENTO E GERENCIAMENT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4.0"/>
    <col customWidth="1" min="3" max="3" width="38.0"/>
    <col customWidth="1" min="4" max="4" width="55.0"/>
    <col customWidth="1" min="5" max="6" width="16.0"/>
    <col customWidth="1" min="7" max="26" width="8.63"/>
  </cols>
  <sheetData>
    <row r="1" ht="27.75" customHeight="1">
      <c r="A1" s="1" t="s">
        <v>0</v>
      </c>
    </row>
    <row r="2" ht="42.0" customHeight="1">
      <c r="A2" s="3" t="s">
        <v>2</v>
      </c>
    </row>
    <row r="4">
      <c r="A4" s="2" t="s">
        <v>9</v>
      </c>
      <c r="B4" s="2" t="s">
        <v>12</v>
      </c>
      <c r="C4" s="2" t="s">
        <v>13</v>
      </c>
      <c r="D4" s="2" t="s">
        <v>15</v>
      </c>
      <c r="E4" s="2" t="s">
        <v>17</v>
      </c>
      <c r="F4" s="2" t="s">
        <v>19</v>
      </c>
    </row>
    <row r="5">
      <c r="A5" s="5" t="s">
        <v>22</v>
      </c>
      <c r="B5" s="5">
        <v>26.0</v>
      </c>
      <c r="C5" s="5" t="s">
        <v>24</v>
      </c>
      <c r="D5" s="5" t="s">
        <v>26</v>
      </c>
      <c r="E5" s="5" t="s">
        <v>28</v>
      </c>
      <c r="F5" s="5">
        <v>35.0</v>
      </c>
    </row>
    <row r="6">
      <c r="A6" s="5" t="s">
        <v>32</v>
      </c>
      <c r="B6" s="5">
        <v>10.0</v>
      </c>
      <c r="C6" s="5" t="s">
        <v>35</v>
      </c>
      <c r="D6" s="5" t="s">
        <v>38</v>
      </c>
      <c r="E6" s="5"/>
      <c r="F6" s="5"/>
    </row>
    <row r="7">
      <c r="A7" s="5" t="s">
        <v>42</v>
      </c>
      <c r="B7" s="5">
        <v>0.0</v>
      </c>
      <c r="C7" s="5" t="s">
        <v>46</v>
      </c>
      <c r="D7" s="5" t="s">
        <v>49</v>
      </c>
      <c r="E7" s="5"/>
      <c r="F7" s="5"/>
    </row>
    <row r="8">
      <c r="A8" s="5" t="s">
        <v>55</v>
      </c>
      <c r="B8" s="5">
        <v>2.0</v>
      </c>
      <c r="C8" s="5" t="s">
        <v>58</v>
      </c>
      <c r="D8" s="5" t="s">
        <v>60</v>
      </c>
      <c r="E8" s="5"/>
      <c r="F8" s="5"/>
    </row>
    <row r="9">
      <c r="A9" s="5" t="s">
        <v>64</v>
      </c>
      <c r="B9" s="5">
        <v>0.0</v>
      </c>
      <c r="C9" s="5" t="s">
        <v>67</v>
      </c>
      <c r="D9" s="5" t="s">
        <v>69</v>
      </c>
      <c r="E9" s="5"/>
      <c r="F9" s="5"/>
    </row>
    <row r="10">
      <c r="A10" s="5" t="s">
        <v>75</v>
      </c>
      <c r="B10" s="5">
        <v>2.0</v>
      </c>
      <c r="C10" s="5" t="s">
        <v>77</v>
      </c>
      <c r="D10" s="5" t="s">
        <v>78</v>
      </c>
      <c r="E10" s="5"/>
      <c r="F10" s="5"/>
    </row>
    <row r="12" ht="42.0" customHeight="1">
      <c r="A12" s="7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12:F1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8.0"/>
    <col customWidth="1" min="3" max="3" width="42.0"/>
    <col customWidth="1" min="4" max="5" width="18.0"/>
    <col customWidth="1" min="6" max="6" width="4.0"/>
    <col customWidth="1" min="7" max="7" width="30.0"/>
    <col customWidth="1" min="8" max="8" width="55.0"/>
    <col customWidth="1" min="9" max="9" width="18.0"/>
    <col customWidth="1" min="10" max="10" width="52.0"/>
    <col customWidth="1" min="11" max="11" width="36.0"/>
    <col customWidth="1" min="12" max="12" width="34.0"/>
    <col customWidth="1" min="13" max="13" width="60.0"/>
    <col customWidth="1" min="14" max="15" width="20.0"/>
    <col customWidth="1" min="16" max="26" width="8.63"/>
  </cols>
  <sheetData>
    <row r="1" ht="39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/>
      <c r="G1" s="2" t="s">
        <v>7</v>
      </c>
      <c r="H1" s="2" t="s">
        <v>8</v>
      </c>
      <c r="I1" s="2" t="s">
        <v>10</v>
      </c>
      <c r="J1" s="2" t="s">
        <v>11</v>
      </c>
      <c r="K1" s="2" t="s">
        <v>14</v>
      </c>
      <c r="L1" s="2" t="s">
        <v>16</v>
      </c>
      <c r="M1" s="2" t="s">
        <v>18</v>
      </c>
      <c r="N1" s="4" t="s">
        <v>20</v>
      </c>
      <c r="O1" s="4" t="s">
        <v>23</v>
      </c>
    </row>
    <row r="2" ht="61.5" customHeight="1">
      <c r="A2" s="6" t="s">
        <v>21</v>
      </c>
      <c r="B2" s="6" t="s">
        <v>25</v>
      </c>
      <c r="C2" s="6" t="s">
        <v>27</v>
      </c>
      <c r="D2" s="6" t="s">
        <v>29</v>
      </c>
      <c r="E2" s="6" t="s">
        <v>30</v>
      </c>
      <c r="F2" s="6"/>
      <c r="G2" s="6" t="s">
        <v>31</v>
      </c>
      <c r="H2" s="6" t="s">
        <v>33</v>
      </c>
      <c r="I2" s="6" t="s">
        <v>34</v>
      </c>
      <c r="J2" s="6" t="s">
        <v>37</v>
      </c>
      <c r="K2" s="6" t="s">
        <v>22</v>
      </c>
      <c r="L2" s="6" t="s">
        <v>39</v>
      </c>
      <c r="M2" s="6" t="s">
        <v>41</v>
      </c>
      <c r="N2" s="8" t="str">
        <f t="shared" ref="N2:N36" si="1">IF(J2&lt;&gt;"","SIM","NÃO")</f>
        <v>SIM</v>
      </c>
      <c r="O2" s="8" t="str">
        <f t="shared" ref="O2:O36" si="2">IF(I2&lt;&gt;"","SIM","NÃO")</f>
        <v>SIM</v>
      </c>
    </row>
    <row r="3" ht="61.5" customHeight="1">
      <c r="A3" s="6" t="s">
        <v>45</v>
      </c>
      <c r="B3" s="6" t="s">
        <v>47</v>
      </c>
      <c r="C3" s="6" t="s">
        <v>50</v>
      </c>
      <c r="D3" s="6" t="s">
        <v>51</v>
      </c>
      <c r="E3" s="6" t="s">
        <v>52</v>
      </c>
      <c r="F3" s="6"/>
      <c r="G3" s="6" t="s">
        <v>53</v>
      </c>
      <c r="H3" s="6" t="s">
        <v>56</v>
      </c>
      <c r="I3" s="6" t="s">
        <v>57</v>
      </c>
      <c r="J3" s="6" t="s">
        <v>59</v>
      </c>
      <c r="K3" s="6" t="s">
        <v>61</v>
      </c>
      <c r="L3" s="6" t="s">
        <v>39</v>
      </c>
      <c r="M3" s="6" t="s">
        <v>63</v>
      </c>
      <c r="N3" s="8" t="str">
        <f t="shared" si="1"/>
        <v>SIM</v>
      </c>
      <c r="O3" s="8" t="str">
        <f t="shared" si="2"/>
        <v>SIM</v>
      </c>
    </row>
    <row r="4" ht="61.5" customHeight="1">
      <c r="A4" s="6" t="s">
        <v>45</v>
      </c>
      <c r="B4" s="6" t="s">
        <v>65</v>
      </c>
      <c r="C4" s="6" t="s">
        <v>66</v>
      </c>
      <c r="D4" s="6" t="s">
        <v>68</v>
      </c>
      <c r="E4" s="6" t="s">
        <v>52</v>
      </c>
      <c r="F4" s="6"/>
      <c r="G4" s="6" t="s">
        <v>53</v>
      </c>
      <c r="H4" s="6" t="s">
        <v>72</v>
      </c>
      <c r="I4" s="6" t="s">
        <v>74</v>
      </c>
      <c r="J4" s="6" t="s">
        <v>76</v>
      </c>
      <c r="K4" s="6" t="s">
        <v>61</v>
      </c>
      <c r="L4" s="6" t="s">
        <v>39</v>
      </c>
      <c r="M4" s="6" t="s">
        <v>79</v>
      </c>
      <c r="N4" s="8" t="str">
        <f t="shared" si="1"/>
        <v>SIM</v>
      </c>
      <c r="O4" s="8" t="str">
        <f t="shared" si="2"/>
        <v>SIM</v>
      </c>
    </row>
    <row r="5" ht="61.5" customHeight="1">
      <c r="A5" s="6" t="s">
        <v>45</v>
      </c>
      <c r="B5" s="6" t="s">
        <v>25</v>
      </c>
      <c r="C5" s="6" t="s">
        <v>81</v>
      </c>
      <c r="D5" s="6" t="s">
        <v>30</v>
      </c>
      <c r="E5" s="6" t="s">
        <v>30</v>
      </c>
      <c r="F5" s="6"/>
      <c r="G5" s="6" t="s">
        <v>84</v>
      </c>
      <c r="H5" s="6" t="s">
        <v>85</v>
      </c>
      <c r="I5" s="6" t="s">
        <v>86</v>
      </c>
      <c r="J5" s="6" t="s">
        <v>88</v>
      </c>
      <c r="K5" s="6" t="s">
        <v>22</v>
      </c>
      <c r="L5" s="6" t="s">
        <v>39</v>
      </c>
      <c r="M5" s="6" t="s">
        <v>91</v>
      </c>
      <c r="N5" s="8" t="str">
        <f t="shared" si="1"/>
        <v>SIM</v>
      </c>
      <c r="O5" s="8" t="str">
        <f t="shared" si="2"/>
        <v>SIM</v>
      </c>
    </row>
    <row r="6" ht="61.5" customHeight="1">
      <c r="A6" s="6" t="s">
        <v>21</v>
      </c>
      <c r="B6" s="6" t="s">
        <v>25</v>
      </c>
      <c r="C6" s="6" t="s">
        <v>93</v>
      </c>
      <c r="D6" s="6" t="s">
        <v>30</v>
      </c>
      <c r="E6" s="6" t="s">
        <v>30</v>
      </c>
      <c r="F6" s="6"/>
      <c r="G6" s="6" t="s">
        <v>95</v>
      </c>
      <c r="H6" s="6" t="s">
        <v>96</v>
      </c>
      <c r="I6" s="6" t="s">
        <v>97</v>
      </c>
      <c r="J6" s="6" t="s">
        <v>99</v>
      </c>
      <c r="K6" s="6" t="s">
        <v>22</v>
      </c>
      <c r="L6" s="6" t="s">
        <v>39</v>
      </c>
      <c r="M6" s="6" t="s">
        <v>100</v>
      </c>
      <c r="N6" s="8" t="str">
        <f t="shared" si="1"/>
        <v>SIM</v>
      </c>
      <c r="O6" s="8" t="str">
        <f t="shared" si="2"/>
        <v>SIM</v>
      </c>
    </row>
    <row r="7" ht="61.5" customHeight="1">
      <c r="A7" s="6" t="s">
        <v>21</v>
      </c>
      <c r="B7" s="6" t="s">
        <v>25</v>
      </c>
      <c r="C7" s="6" t="s">
        <v>36</v>
      </c>
      <c r="D7" s="6" t="s">
        <v>30</v>
      </c>
      <c r="E7" s="6" t="s">
        <v>30</v>
      </c>
      <c r="F7" s="6"/>
      <c r="G7" s="6" t="s">
        <v>40</v>
      </c>
      <c r="H7" s="6" t="s">
        <v>43</v>
      </c>
      <c r="I7" s="6" t="s">
        <v>44</v>
      </c>
      <c r="J7" s="6" t="s">
        <v>48</v>
      </c>
      <c r="K7" s="6" t="s">
        <v>32</v>
      </c>
      <c r="L7" s="6" t="s">
        <v>39</v>
      </c>
      <c r="M7" s="6" t="s">
        <v>54</v>
      </c>
      <c r="N7" s="8" t="str">
        <f t="shared" si="1"/>
        <v>SIM</v>
      </c>
      <c r="O7" s="8" t="str">
        <f t="shared" si="2"/>
        <v>SIM</v>
      </c>
    </row>
    <row r="8" ht="61.5" customHeight="1">
      <c r="A8" s="6" t="s">
        <v>21</v>
      </c>
      <c r="B8" s="6" t="s">
        <v>25</v>
      </c>
      <c r="C8" s="6" t="s">
        <v>103</v>
      </c>
      <c r="D8" s="6" t="s">
        <v>30</v>
      </c>
      <c r="E8" s="6" t="s">
        <v>30</v>
      </c>
      <c r="F8" s="6"/>
      <c r="G8" s="6" t="s">
        <v>106</v>
      </c>
      <c r="H8" s="6" t="s">
        <v>107</v>
      </c>
      <c r="I8" s="6" t="s">
        <v>108</v>
      </c>
      <c r="J8" s="6" t="s">
        <v>110</v>
      </c>
      <c r="K8" s="6" t="s">
        <v>22</v>
      </c>
      <c r="L8" s="6" t="s">
        <v>39</v>
      </c>
      <c r="M8" s="6" t="s">
        <v>111</v>
      </c>
      <c r="N8" s="8" t="str">
        <f t="shared" si="1"/>
        <v>SIM</v>
      </c>
      <c r="O8" s="8" t="str">
        <f t="shared" si="2"/>
        <v>SIM</v>
      </c>
    </row>
    <row r="9" ht="61.5" customHeight="1">
      <c r="A9" s="6" t="s">
        <v>21</v>
      </c>
      <c r="B9" s="6" t="s">
        <v>25</v>
      </c>
      <c r="C9" s="6" t="s">
        <v>62</v>
      </c>
      <c r="D9" s="6" t="s">
        <v>30</v>
      </c>
      <c r="E9" s="6" t="s">
        <v>30</v>
      </c>
      <c r="F9" s="6"/>
      <c r="G9" s="6" t="s">
        <v>40</v>
      </c>
      <c r="H9" s="6" t="s">
        <v>70</v>
      </c>
      <c r="I9" s="6" t="s">
        <v>71</v>
      </c>
      <c r="J9" s="6" t="s">
        <v>73</v>
      </c>
      <c r="K9" s="6" t="s">
        <v>32</v>
      </c>
      <c r="L9" s="6" t="s">
        <v>39</v>
      </c>
      <c r="M9" s="6" t="s">
        <v>80</v>
      </c>
      <c r="N9" s="8" t="str">
        <f t="shared" si="1"/>
        <v>SIM</v>
      </c>
      <c r="O9" s="8" t="str">
        <f t="shared" si="2"/>
        <v>SIM</v>
      </c>
    </row>
    <row r="10" ht="61.5" customHeight="1">
      <c r="A10" s="6" t="s">
        <v>21</v>
      </c>
      <c r="B10" s="6" t="s">
        <v>25</v>
      </c>
      <c r="C10" s="6" t="s">
        <v>82</v>
      </c>
      <c r="D10" s="6" t="s">
        <v>30</v>
      </c>
      <c r="E10" s="6" t="s">
        <v>30</v>
      </c>
      <c r="F10" s="6"/>
      <c r="G10" s="6" t="s">
        <v>87</v>
      </c>
      <c r="H10" s="6" t="s">
        <v>89</v>
      </c>
      <c r="I10" s="6" t="s">
        <v>90</v>
      </c>
      <c r="J10" s="6" t="s">
        <v>92</v>
      </c>
      <c r="K10" s="6" t="s">
        <v>32</v>
      </c>
      <c r="L10" s="6" t="s">
        <v>39</v>
      </c>
      <c r="M10" s="6" t="s">
        <v>94</v>
      </c>
      <c r="N10" s="8" t="str">
        <f t="shared" si="1"/>
        <v>SIM</v>
      </c>
      <c r="O10" s="8" t="str">
        <f t="shared" si="2"/>
        <v>SIM</v>
      </c>
    </row>
    <row r="11" ht="61.5" customHeight="1">
      <c r="A11" s="6" t="s">
        <v>21</v>
      </c>
      <c r="B11" s="6" t="s">
        <v>25</v>
      </c>
      <c r="C11" s="6" t="s">
        <v>113</v>
      </c>
      <c r="D11" s="6" t="s">
        <v>30</v>
      </c>
      <c r="E11" s="6" t="s">
        <v>114</v>
      </c>
      <c r="F11" s="6"/>
      <c r="G11" s="6" t="s">
        <v>115</v>
      </c>
      <c r="H11" s="6" t="s">
        <v>117</v>
      </c>
      <c r="I11" s="6" t="s">
        <v>119</v>
      </c>
      <c r="J11" s="6" t="s">
        <v>121</v>
      </c>
      <c r="K11" s="6" t="s">
        <v>22</v>
      </c>
      <c r="L11" s="6" t="s">
        <v>39</v>
      </c>
      <c r="M11" s="6" t="s">
        <v>123</v>
      </c>
      <c r="N11" s="8" t="str">
        <f t="shared" si="1"/>
        <v>SIM</v>
      </c>
      <c r="O11" s="8" t="str">
        <f t="shared" si="2"/>
        <v>SIM</v>
      </c>
    </row>
    <row r="12" ht="61.5" customHeight="1">
      <c r="A12" s="6" t="s">
        <v>21</v>
      </c>
      <c r="B12" s="6" t="s">
        <v>25</v>
      </c>
      <c r="C12" s="6" t="s">
        <v>125</v>
      </c>
      <c r="D12" s="6" t="s">
        <v>30</v>
      </c>
      <c r="E12" s="6" t="s">
        <v>130</v>
      </c>
      <c r="F12" s="6"/>
      <c r="G12" s="6" t="s">
        <v>133</v>
      </c>
      <c r="H12" s="6" t="s">
        <v>134</v>
      </c>
      <c r="I12" s="6" t="s">
        <v>136</v>
      </c>
      <c r="J12" s="6" t="s">
        <v>137</v>
      </c>
      <c r="K12" s="6" t="s">
        <v>22</v>
      </c>
      <c r="L12" s="6" t="s">
        <v>39</v>
      </c>
      <c r="M12" s="6" t="s">
        <v>138</v>
      </c>
      <c r="N12" s="8" t="str">
        <f t="shared" si="1"/>
        <v>SIM</v>
      </c>
      <c r="O12" s="8" t="str">
        <f t="shared" si="2"/>
        <v>SIM</v>
      </c>
    </row>
    <row r="13" ht="61.5" customHeight="1">
      <c r="A13" s="6" t="s">
        <v>21</v>
      </c>
      <c r="B13" s="6" t="s">
        <v>25</v>
      </c>
      <c r="C13" s="6" t="s">
        <v>141</v>
      </c>
      <c r="D13" s="6" t="s">
        <v>30</v>
      </c>
      <c r="E13" s="6" t="s">
        <v>30</v>
      </c>
      <c r="F13" s="6"/>
      <c r="G13" s="6" t="s">
        <v>142</v>
      </c>
      <c r="H13" s="6" t="s">
        <v>143</v>
      </c>
      <c r="I13" s="6" t="s">
        <v>145</v>
      </c>
      <c r="J13" s="6" t="s">
        <v>146</v>
      </c>
      <c r="K13" s="6" t="s">
        <v>22</v>
      </c>
      <c r="L13" s="6" t="s">
        <v>39</v>
      </c>
      <c r="M13" s="6" t="s">
        <v>150</v>
      </c>
      <c r="N13" s="8" t="str">
        <f t="shared" si="1"/>
        <v>SIM</v>
      </c>
      <c r="O13" s="8" t="str">
        <f t="shared" si="2"/>
        <v>SIM</v>
      </c>
    </row>
    <row r="14" ht="61.5" customHeight="1">
      <c r="A14" s="6" t="s">
        <v>21</v>
      </c>
      <c r="B14" s="6" t="s">
        <v>25</v>
      </c>
      <c r="C14" s="6" t="s">
        <v>98</v>
      </c>
      <c r="D14" s="6" t="s">
        <v>30</v>
      </c>
      <c r="E14" s="6" t="s">
        <v>30</v>
      </c>
      <c r="F14" s="6"/>
      <c r="G14" s="6" t="s">
        <v>101</v>
      </c>
      <c r="H14" s="6" t="s">
        <v>102</v>
      </c>
      <c r="I14" s="6" t="s">
        <v>104</v>
      </c>
      <c r="J14" s="6" t="s">
        <v>105</v>
      </c>
      <c r="K14" s="6" t="s">
        <v>32</v>
      </c>
      <c r="L14" s="6" t="s">
        <v>39</v>
      </c>
      <c r="M14" s="6" t="s">
        <v>109</v>
      </c>
      <c r="N14" s="8" t="str">
        <f t="shared" si="1"/>
        <v>SIM</v>
      </c>
      <c r="O14" s="8" t="str">
        <f t="shared" si="2"/>
        <v>SIM</v>
      </c>
    </row>
    <row r="15" ht="61.5" customHeight="1">
      <c r="A15" s="6" t="s">
        <v>21</v>
      </c>
      <c r="B15" s="6" t="s">
        <v>25</v>
      </c>
      <c r="C15" s="6" t="s">
        <v>152</v>
      </c>
      <c r="D15" s="6" t="s">
        <v>30</v>
      </c>
      <c r="E15" s="6" t="s">
        <v>30</v>
      </c>
      <c r="F15" s="6"/>
      <c r="G15" s="6" t="s">
        <v>154</v>
      </c>
      <c r="H15" s="6" t="s">
        <v>155</v>
      </c>
      <c r="I15" s="6" t="s">
        <v>157</v>
      </c>
      <c r="J15" s="6" t="s">
        <v>158</v>
      </c>
      <c r="K15" s="6" t="s">
        <v>22</v>
      </c>
      <c r="L15" s="6" t="s">
        <v>39</v>
      </c>
      <c r="M15" s="6" t="s">
        <v>162</v>
      </c>
      <c r="N15" s="8" t="str">
        <f t="shared" si="1"/>
        <v>SIM</v>
      </c>
      <c r="O15" s="8" t="str">
        <f t="shared" si="2"/>
        <v>SIM</v>
      </c>
    </row>
    <row r="16" ht="61.5" customHeight="1">
      <c r="A16" s="6" t="s">
        <v>21</v>
      </c>
      <c r="B16" s="6" t="s">
        <v>25</v>
      </c>
      <c r="C16" s="6" t="s">
        <v>112</v>
      </c>
      <c r="D16" s="6" t="s">
        <v>30</v>
      </c>
      <c r="E16" s="6" t="s">
        <v>30</v>
      </c>
      <c r="F16" s="6"/>
      <c r="G16" s="6" t="s">
        <v>116</v>
      </c>
      <c r="H16" s="6" t="s">
        <v>118</v>
      </c>
      <c r="I16" s="6" t="s">
        <v>120</v>
      </c>
      <c r="J16" s="6" t="s">
        <v>122</v>
      </c>
      <c r="K16" s="6" t="s">
        <v>32</v>
      </c>
      <c r="L16" s="6" t="s">
        <v>39</v>
      </c>
      <c r="M16" s="6" t="s">
        <v>124</v>
      </c>
      <c r="N16" s="8" t="str">
        <f t="shared" si="1"/>
        <v>SIM</v>
      </c>
      <c r="O16" s="8" t="str">
        <f t="shared" si="2"/>
        <v>SIM</v>
      </c>
    </row>
    <row r="17" ht="61.5" customHeight="1">
      <c r="A17" s="6" t="s">
        <v>21</v>
      </c>
      <c r="B17" s="6" t="s">
        <v>25</v>
      </c>
      <c r="C17" s="6" t="s">
        <v>165</v>
      </c>
      <c r="D17" s="6" t="s">
        <v>30</v>
      </c>
      <c r="E17" s="6" t="s">
        <v>30</v>
      </c>
      <c r="F17" s="6"/>
      <c r="G17" s="6" t="s">
        <v>168</v>
      </c>
      <c r="H17" s="6" t="s">
        <v>169</v>
      </c>
      <c r="I17" s="6" t="s">
        <v>170</v>
      </c>
      <c r="J17" s="6" t="s">
        <v>172</v>
      </c>
      <c r="K17" s="6" t="s">
        <v>22</v>
      </c>
      <c r="L17" s="6" t="s">
        <v>39</v>
      </c>
      <c r="M17" s="6" t="s">
        <v>173</v>
      </c>
      <c r="N17" s="8" t="str">
        <f t="shared" si="1"/>
        <v>SIM</v>
      </c>
      <c r="O17" s="8" t="str">
        <f t="shared" si="2"/>
        <v>SIM</v>
      </c>
    </row>
    <row r="18" ht="61.5" customHeight="1">
      <c r="A18" s="6" t="s">
        <v>21</v>
      </c>
      <c r="B18" s="6" t="s">
        <v>25</v>
      </c>
      <c r="C18" s="6" t="s">
        <v>175</v>
      </c>
      <c r="D18" s="6" t="s">
        <v>30</v>
      </c>
      <c r="E18" s="6" t="s">
        <v>30</v>
      </c>
      <c r="F18" s="6"/>
      <c r="G18" s="6" t="s">
        <v>142</v>
      </c>
      <c r="H18" s="6" t="s">
        <v>180</v>
      </c>
      <c r="I18" s="6" t="s">
        <v>182</v>
      </c>
      <c r="J18" s="6" t="s">
        <v>183</v>
      </c>
      <c r="K18" s="6" t="s">
        <v>22</v>
      </c>
      <c r="L18" s="6" t="s">
        <v>39</v>
      </c>
      <c r="M18" s="6" t="s">
        <v>185</v>
      </c>
      <c r="N18" s="8" t="str">
        <f t="shared" si="1"/>
        <v>SIM</v>
      </c>
      <c r="O18" s="8" t="str">
        <f t="shared" si="2"/>
        <v>SIM</v>
      </c>
    </row>
    <row r="19" ht="61.5" customHeight="1">
      <c r="A19" s="6" t="s">
        <v>21</v>
      </c>
      <c r="B19" s="6" t="s">
        <v>25</v>
      </c>
      <c r="C19" s="6" t="s">
        <v>186</v>
      </c>
      <c r="D19" s="6" t="s">
        <v>30</v>
      </c>
      <c r="E19" s="6" t="s">
        <v>30</v>
      </c>
      <c r="F19" s="6"/>
      <c r="G19" s="6" t="s">
        <v>188</v>
      </c>
      <c r="H19" s="6" t="s">
        <v>189</v>
      </c>
      <c r="I19" s="6" t="s">
        <v>190</v>
      </c>
      <c r="J19" s="6" t="s">
        <v>191</v>
      </c>
      <c r="K19" s="6" t="s">
        <v>22</v>
      </c>
      <c r="L19" s="6" t="s">
        <v>39</v>
      </c>
      <c r="M19" s="6" t="s">
        <v>194</v>
      </c>
      <c r="N19" s="8" t="str">
        <f t="shared" si="1"/>
        <v>SIM</v>
      </c>
      <c r="O19" s="8" t="str">
        <f t="shared" si="2"/>
        <v>SIM</v>
      </c>
    </row>
    <row r="20" ht="61.5" customHeight="1">
      <c r="A20" s="6" t="s">
        <v>21</v>
      </c>
      <c r="B20" s="6" t="s">
        <v>25</v>
      </c>
      <c r="C20" s="6" t="s">
        <v>196</v>
      </c>
      <c r="D20" s="6" t="s">
        <v>30</v>
      </c>
      <c r="E20" s="6" t="s">
        <v>30</v>
      </c>
      <c r="F20" s="6"/>
      <c r="G20" s="6" t="s">
        <v>198</v>
      </c>
      <c r="H20" s="6" t="s">
        <v>199</v>
      </c>
      <c r="I20" s="6" t="s">
        <v>200</v>
      </c>
      <c r="J20" s="6" t="s">
        <v>201</v>
      </c>
      <c r="K20" s="6" t="s">
        <v>22</v>
      </c>
      <c r="L20" s="6" t="s">
        <v>39</v>
      </c>
      <c r="M20" s="6" t="s">
        <v>202</v>
      </c>
      <c r="N20" s="8" t="str">
        <f t="shared" si="1"/>
        <v>SIM</v>
      </c>
      <c r="O20" s="8" t="str">
        <f t="shared" si="2"/>
        <v>SIM</v>
      </c>
    </row>
    <row r="21" ht="61.5" customHeight="1">
      <c r="A21" s="6" t="s">
        <v>21</v>
      </c>
      <c r="B21" s="6" t="s">
        <v>25</v>
      </c>
      <c r="C21" s="6" t="s">
        <v>126</v>
      </c>
      <c r="D21" s="6" t="s">
        <v>30</v>
      </c>
      <c r="E21" s="6" t="s">
        <v>30</v>
      </c>
      <c r="F21" s="6"/>
      <c r="G21" s="6" t="s">
        <v>127</v>
      </c>
      <c r="H21" s="6" t="s">
        <v>128</v>
      </c>
      <c r="I21" s="6" t="s">
        <v>129</v>
      </c>
      <c r="J21" s="6" t="s">
        <v>131</v>
      </c>
      <c r="K21" s="6" t="s">
        <v>132</v>
      </c>
      <c r="L21" s="6" t="s">
        <v>39</v>
      </c>
      <c r="M21" s="6" t="s">
        <v>135</v>
      </c>
      <c r="N21" s="8" t="str">
        <f t="shared" si="1"/>
        <v>SIM</v>
      </c>
      <c r="O21" s="8" t="str">
        <f t="shared" si="2"/>
        <v>SIM</v>
      </c>
    </row>
    <row r="22" ht="61.5" customHeight="1">
      <c r="A22" s="6" t="s">
        <v>21</v>
      </c>
      <c r="B22" s="6" t="s">
        <v>25</v>
      </c>
      <c r="C22" s="6" t="s">
        <v>203</v>
      </c>
      <c r="D22" s="6" t="s">
        <v>30</v>
      </c>
      <c r="E22" s="6" t="s">
        <v>30</v>
      </c>
      <c r="F22" s="6"/>
      <c r="G22" s="6" t="s">
        <v>204</v>
      </c>
      <c r="H22" s="6" t="s">
        <v>205</v>
      </c>
      <c r="I22" s="6" t="s">
        <v>206</v>
      </c>
      <c r="J22" s="6" t="s">
        <v>207</v>
      </c>
      <c r="K22" s="6" t="s">
        <v>22</v>
      </c>
      <c r="L22" s="6" t="s">
        <v>39</v>
      </c>
      <c r="M22" s="6" t="s">
        <v>208</v>
      </c>
      <c r="N22" s="8" t="str">
        <f t="shared" si="1"/>
        <v>SIM</v>
      </c>
      <c r="O22" s="8" t="str">
        <f t="shared" si="2"/>
        <v>SIM</v>
      </c>
    </row>
    <row r="23" ht="61.5" customHeight="1">
      <c r="A23" s="6" t="s">
        <v>21</v>
      </c>
      <c r="B23" s="6" t="s">
        <v>25</v>
      </c>
      <c r="C23" s="6" t="s">
        <v>209</v>
      </c>
      <c r="D23" s="6" t="s">
        <v>30</v>
      </c>
      <c r="E23" s="6" t="s">
        <v>30</v>
      </c>
      <c r="F23" s="6"/>
      <c r="G23" s="6" t="s">
        <v>210</v>
      </c>
      <c r="H23" s="6" t="s">
        <v>211</v>
      </c>
      <c r="I23" s="6" t="s">
        <v>212</v>
      </c>
      <c r="J23" s="6" t="s">
        <v>213</v>
      </c>
      <c r="K23" s="6" t="s">
        <v>22</v>
      </c>
      <c r="L23" s="6" t="s">
        <v>39</v>
      </c>
      <c r="M23" s="6" t="s">
        <v>214</v>
      </c>
      <c r="N23" s="8" t="str">
        <f t="shared" si="1"/>
        <v>SIM</v>
      </c>
      <c r="O23" s="8" t="str">
        <f t="shared" si="2"/>
        <v>SIM</v>
      </c>
    </row>
    <row r="24" ht="61.5" customHeight="1">
      <c r="A24" s="6" t="s">
        <v>21</v>
      </c>
      <c r="B24" s="6" t="s">
        <v>25</v>
      </c>
      <c r="C24" s="6" t="s">
        <v>215</v>
      </c>
      <c r="D24" s="6" t="s">
        <v>30</v>
      </c>
      <c r="E24" s="6" t="s">
        <v>30</v>
      </c>
      <c r="F24" s="6"/>
      <c r="G24" s="6" t="s">
        <v>216</v>
      </c>
      <c r="H24" s="6" t="s">
        <v>217</v>
      </c>
      <c r="I24" s="6" t="s">
        <v>218</v>
      </c>
      <c r="J24" s="6" t="s">
        <v>219</v>
      </c>
      <c r="K24" s="6" t="s">
        <v>22</v>
      </c>
      <c r="L24" s="6" t="s">
        <v>39</v>
      </c>
      <c r="M24" s="6" t="s">
        <v>220</v>
      </c>
      <c r="N24" s="8" t="str">
        <f t="shared" si="1"/>
        <v>SIM</v>
      </c>
      <c r="O24" s="8" t="str">
        <f t="shared" si="2"/>
        <v>SIM</v>
      </c>
    </row>
    <row r="25" ht="61.5" customHeight="1">
      <c r="A25" s="6" t="s">
        <v>45</v>
      </c>
      <c r="B25" s="6" t="s">
        <v>25</v>
      </c>
      <c r="C25" s="6" t="s">
        <v>221</v>
      </c>
      <c r="D25" s="6" t="s">
        <v>30</v>
      </c>
      <c r="E25" s="6" t="s">
        <v>30</v>
      </c>
      <c r="F25" s="6"/>
      <c r="G25" s="6" t="s">
        <v>222</v>
      </c>
      <c r="H25" s="6" t="s">
        <v>223</v>
      </c>
      <c r="I25" s="6" t="s">
        <v>224</v>
      </c>
      <c r="J25" s="6" t="s">
        <v>225</v>
      </c>
      <c r="K25" s="6" t="s">
        <v>22</v>
      </c>
      <c r="L25" s="6" t="s">
        <v>151</v>
      </c>
      <c r="M25" s="6" t="s">
        <v>226</v>
      </c>
      <c r="N25" s="8" t="str">
        <f t="shared" si="1"/>
        <v>SIM</v>
      </c>
      <c r="O25" s="8" t="str">
        <f t="shared" si="2"/>
        <v>SIM</v>
      </c>
    </row>
    <row r="26" ht="61.5" customHeight="1">
      <c r="A26" s="6" t="s">
        <v>45</v>
      </c>
      <c r="B26" s="6" t="s">
        <v>25</v>
      </c>
      <c r="C26" s="6" t="s">
        <v>139</v>
      </c>
      <c r="D26" s="6" t="s">
        <v>140</v>
      </c>
      <c r="E26" s="6" t="s">
        <v>30</v>
      </c>
      <c r="F26" s="6"/>
      <c r="G26" s="6" t="s">
        <v>144</v>
      </c>
      <c r="H26" s="6" t="s">
        <v>147</v>
      </c>
      <c r="I26" s="6" t="s">
        <v>148</v>
      </c>
      <c r="J26" s="6" t="s">
        <v>149</v>
      </c>
      <c r="K26" s="6" t="s">
        <v>32</v>
      </c>
      <c r="L26" s="6" t="s">
        <v>151</v>
      </c>
      <c r="M26" s="6" t="s">
        <v>153</v>
      </c>
      <c r="N26" s="8" t="str">
        <f t="shared" si="1"/>
        <v>SIM</v>
      </c>
      <c r="O26" s="8" t="str">
        <f t="shared" si="2"/>
        <v>SIM</v>
      </c>
    </row>
    <row r="27" ht="61.5" customHeight="1">
      <c r="A27" s="6" t="s">
        <v>45</v>
      </c>
      <c r="B27" s="6" t="s">
        <v>156</v>
      </c>
      <c r="C27" s="6" t="s">
        <v>159</v>
      </c>
      <c r="D27" s="6" t="s">
        <v>160</v>
      </c>
      <c r="E27" s="6" t="s">
        <v>161</v>
      </c>
      <c r="F27" s="6"/>
      <c r="G27" s="6" t="s">
        <v>163</v>
      </c>
      <c r="H27" s="6" t="s">
        <v>164</v>
      </c>
      <c r="I27" s="6" t="s">
        <v>166</v>
      </c>
      <c r="J27" s="6" t="s">
        <v>167</v>
      </c>
      <c r="K27" s="6" t="s">
        <v>32</v>
      </c>
      <c r="L27" s="6" t="s">
        <v>151</v>
      </c>
      <c r="M27" s="6" t="s">
        <v>171</v>
      </c>
      <c r="N27" s="8" t="str">
        <f t="shared" si="1"/>
        <v>SIM</v>
      </c>
      <c r="O27" s="8" t="str">
        <f t="shared" si="2"/>
        <v>SIM</v>
      </c>
    </row>
    <row r="28" ht="61.5" customHeight="1">
      <c r="A28" s="6" t="s">
        <v>45</v>
      </c>
      <c r="B28" s="6" t="s">
        <v>25</v>
      </c>
      <c r="C28" s="6" t="s">
        <v>174</v>
      </c>
      <c r="D28" s="6" t="s">
        <v>30</v>
      </c>
      <c r="E28" s="6" t="s">
        <v>176</v>
      </c>
      <c r="F28" s="6"/>
      <c r="G28" s="6" t="s">
        <v>177</v>
      </c>
      <c r="H28" s="6" t="s">
        <v>178</v>
      </c>
      <c r="I28" s="6" t="s">
        <v>179</v>
      </c>
      <c r="J28" s="6" t="s">
        <v>181</v>
      </c>
      <c r="K28" s="6" t="s">
        <v>32</v>
      </c>
      <c r="L28" s="6" t="s">
        <v>151</v>
      </c>
      <c r="M28" s="6" t="s">
        <v>184</v>
      </c>
      <c r="N28" s="8" t="str">
        <f t="shared" si="1"/>
        <v>SIM</v>
      </c>
      <c r="O28" s="8" t="str">
        <f t="shared" si="2"/>
        <v>SIM</v>
      </c>
    </row>
    <row r="29" ht="61.5" customHeight="1">
      <c r="A29" s="6" t="s">
        <v>45</v>
      </c>
      <c r="B29" s="6" t="s">
        <v>25</v>
      </c>
      <c r="C29" s="6" t="s">
        <v>227</v>
      </c>
      <c r="D29" s="6" t="s">
        <v>30</v>
      </c>
      <c r="E29" s="6" t="s">
        <v>228</v>
      </c>
      <c r="F29" s="6"/>
      <c r="G29" s="6" t="s">
        <v>229</v>
      </c>
      <c r="H29" s="6" t="s">
        <v>230</v>
      </c>
      <c r="I29" s="6" t="s">
        <v>231</v>
      </c>
      <c r="J29" s="6" t="s">
        <v>232</v>
      </c>
      <c r="K29" s="6" t="s">
        <v>22</v>
      </c>
      <c r="L29" s="6" t="s">
        <v>151</v>
      </c>
      <c r="M29" s="6" t="s">
        <v>233</v>
      </c>
      <c r="N29" s="8" t="str">
        <f t="shared" si="1"/>
        <v>SIM</v>
      </c>
      <c r="O29" s="8" t="str">
        <f t="shared" si="2"/>
        <v>SIM</v>
      </c>
    </row>
    <row r="30" ht="61.5" customHeight="1">
      <c r="A30" s="6" t="s">
        <v>45</v>
      </c>
      <c r="B30" s="6" t="s">
        <v>25</v>
      </c>
      <c r="C30" s="6" t="s">
        <v>187</v>
      </c>
      <c r="D30" s="6" t="s">
        <v>30</v>
      </c>
      <c r="E30" s="6" t="s">
        <v>161</v>
      </c>
      <c r="F30" s="6"/>
      <c r="G30" s="6" t="s">
        <v>163</v>
      </c>
      <c r="H30" s="6" t="s">
        <v>192</v>
      </c>
      <c r="I30" s="6" t="s">
        <v>193</v>
      </c>
      <c r="J30" s="6" t="s">
        <v>195</v>
      </c>
      <c r="K30" s="6" t="s">
        <v>32</v>
      </c>
      <c r="L30" s="6" t="s">
        <v>151</v>
      </c>
      <c r="M30" s="6" t="s">
        <v>197</v>
      </c>
      <c r="N30" s="8" t="str">
        <f t="shared" si="1"/>
        <v>SIM</v>
      </c>
      <c r="O30" s="8" t="str">
        <f t="shared" si="2"/>
        <v>SIM</v>
      </c>
    </row>
    <row r="31" ht="61.5" customHeight="1">
      <c r="A31" s="6" t="s">
        <v>45</v>
      </c>
      <c r="B31" s="6" t="s">
        <v>25</v>
      </c>
      <c r="C31" s="6" t="s">
        <v>234</v>
      </c>
      <c r="D31" s="6" t="s">
        <v>30</v>
      </c>
      <c r="E31" s="6" t="s">
        <v>235</v>
      </c>
      <c r="F31" s="6"/>
      <c r="G31" s="6" t="s">
        <v>236</v>
      </c>
      <c r="H31" s="6" t="s">
        <v>237</v>
      </c>
      <c r="I31" s="6" t="s">
        <v>238</v>
      </c>
      <c r="J31" s="6" t="s">
        <v>239</v>
      </c>
      <c r="K31" s="6" t="s">
        <v>22</v>
      </c>
      <c r="L31" s="6" t="s">
        <v>151</v>
      </c>
      <c r="M31" s="6" t="s">
        <v>240</v>
      </c>
      <c r="N31" s="8" t="str">
        <f t="shared" si="1"/>
        <v>SIM</v>
      </c>
      <c r="O31" s="8" t="str">
        <f t="shared" si="2"/>
        <v>SIM</v>
      </c>
    </row>
    <row r="32" ht="61.5" customHeight="1">
      <c r="A32" s="6" t="s">
        <v>45</v>
      </c>
      <c r="B32" s="6" t="s">
        <v>25</v>
      </c>
      <c r="C32" s="6" t="s">
        <v>241</v>
      </c>
      <c r="D32" s="6" t="s">
        <v>30</v>
      </c>
      <c r="E32" s="6" t="s">
        <v>242</v>
      </c>
      <c r="F32" s="6"/>
      <c r="G32" s="6" t="s">
        <v>243</v>
      </c>
      <c r="H32" s="6" t="s">
        <v>244</v>
      </c>
      <c r="I32" s="6" t="s">
        <v>245</v>
      </c>
      <c r="J32" s="6" t="s">
        <v>246</v>
      </c>
      <c r="K32" s="6" t="s">
        <v>22</v>
      </c>
      <c r="L32" s="6" t="s">
        <v>151</v>
      </c>
      <c r="M32" s="6" t="s">
        <v>247</v>
      </c>
      <c r="N32" s="8" t="str">
        <f t="shared" si="1"/>
        <v>SIM</v>
      </c>
      <c r="O32" s="8" t="str">
        <f t="shared" si="2"/>
        <v>SIM</v>
      </c>
    </row>
    <row r="33" ht="61.5" customHeight="1">
      <c r="A33" s="6" t="s">
        <v>45</v>
      </c>
      <c r="B33" s="6" t="s">
        <v>25</v>
      </c>
      <c r="C33" s="6" t="s">
        <v>248</v>
      </c>
      <c r="D33" s="6" t="s">
        <v>30</v>
      </c>
      <c r="E33" s="6" t="s">
        <v>30</v>
      </c>
      <c r="F33" s="6"/>
      <c r="G33" s="6" t="s">
        <v>249</v>
      </c>
      <c r="H33" s="6" t="s">
        <v>250</v>
      </c>
      <c r="I33" s="6" t="s">
        <v>251</v>
      </c>
      <c r="J33" s="6" t="s">
        <v>252</v>
      </c>
      <c r="K33" s="6" t="s">
        <v>253</v>
      </c>
      <c r="L33" s="6" t="s">
        <v>151</v>
      </c>
      <c r="M33" s="6" t="s">
        <v>254</v>
      </c>
      <c r="N33" s="8" t="str">
        <f t="shared" si="1"/>
        <v>SIM</v>
      </c>
      <c r="O33" s="8" t="str">
        <f t="shared" si="2"/>
        <v>SIM</v>
      </c>
    </row>
    <row r="34" ht="61.5" customHeight="1">
      <c r="A34" s="6" t="s">
        <v>45</v>
      </c>
      <c r="B34" s="6" t="s">
        <v>25</v>
      </c>
      <c r="C34" s="6" t="s">
        <v>255</v>
      </c>
      <c r="D34" s="6" t="s">
        <v>30</v>
      </c>
      <c r="E34" s="6" t="s">
        <v>30</v>
      </c>
      <c r="F34" s="6"/>
      <c r="G34" s="6" t="s">
        <v>236</v>
      </c>
      <c r="H34" s="6" t="s">
        <v>256</v>
      </c>
      <c r="I34" s="6" t="s">
        <v>257</v>
      </c>
      <c r="J34" s="6" t="s">
        <v>258</v>
      </c>
      <c r="K34" s="6" t="s">
        <v>22</v>
      </c>
      <c r="L34" s="6" t="s">
        <v>151</v>
      </c>
      <c r="M34" s="6" t="s">
        <v>259</v>
      </c>
      <c r="N34" s="8" t="str">
        <f t="shared" si="1"/>
        <v>SIM</v>
      </c>
      <c r="O34" s="8" t="str">
        <f t="shared" si="2"/>
        <v>SIM</v>
      </c>
    </row>
    <row r="35" ht="61.5" customHeight="1">
      <c r="A35" s="6" t="s">
        <v>45</v>
      </c>
      <c r="B35" s="6" t="s">
        <v>25</v>
      </c>
      <c r="C35" s="6" t="s">
        <v>260</v>
      </c>
      <c r="D35" s="6" t="s">
        <v>30</v>
      </c>
      <c r="E35" s="6" t="s">
        <v>30</v>
      </c>
      <c r="F35" s="6"/>
      <c r="G35" s="6" t="s">
        <v>249</v>
      </c>
      <c r="H35" s="6" t="s">
        <v>261</v>
      </c>
      <c r="I35" s="6" t="s">
        <v>262</v>
      </c>
      <c r="J35" s="6" t="s">
        <v>263</v>
      </c>
      <c r="K35" s="6" t="s">
        <v>253</v>
      </c>
      <c r="L35" s="6" t="s">
        <v>151</v>
      </c>
      <c r="M35" s="6" t="s">
        <v>264</v>
      </c>
      <c r="N35" s="8" t="str">
        <f t="shared" si="1"/>
        <v>SIM</v>
      </c>
      <c r="O35" s="8" t="str">
        <f t="shared" si="2"/>
        <v>SIM</v>
      </c>
    </row>
    <row r="36" ht="61.5" customHeight="1">
      <c r="A36" s="6" t="s">
        <v>45</v>
      </c>
      <c r="B36" s="6" t="s">
        <v>25</v>
      </c>
      <c r="C36" s="6" t="s">
        <v>265</v>
      </c>
      <c r="D36" s="6" t="s">
        <v>30</v>
      </c>
      <c r="E36" s="6" t="s">
        <v>30</v>
      </c>
      <c r="F36" s="6"/>
      <c r="G36" s="6" t="s">
        <v>266</v>
      </c>
      <c r="H36" s="6" t="s">
        <v>267</v>
      </c>
      <c r="I36" s="6" t="s">
        <v>268</v>
      </c>
      <c r="J36" s="6" t="s">
        <v>269</v>
      </c>
      <c r="K36" s="6" t="s">
        <v>22</v>
      </c>
      <c r="L36" s="6" t="s">
        <v>151</v>
      </c>
      <c r="M36" s="6" t="s">
        <v>270</v>
      </c>
      <c r="N36" s="8" t="str">
        <f t="shared" si="1"/>
        <v>SIM</v>
      </c>
      <c r="O36" s="8" t="str">
        <f t="shared" si="2"/>
        <v>SIM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36">
    <cfRule type="expression" dxfId="4" priority="1">
      <formula>ISNUMBER(SEARCH("andamento",E2))</formula>
    </cfRule>
  </conditionalFormatting>
  <conditionalFormatting sqref="K2:K36">
    <cfRule type="expression" dxfId="5" priority="2">
      <formula>ISNUMBER(SEARCH("ÁGUA",K2))</formula>
    </cfRule>
  </conditionalFormatting>
  <conditionalFormatting sqref="K2:K36">
    <cfRule type="expression" dxfId="6" priority="3">
      <formula>ISNUMBER(SEARCH("ELABORAÇÃO",K2))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8.0"/>
    <col customWidth="1" min="3" max="3" width="42.0"/>
    <col customWidth="1" min="4" max="5" width="18.0"/>
    <col customWidth="1" min="6" max="6" width="4.0"/>
    <col customWidth="1" min="7" max="7" width="30.0"/>
    <col customWidth="1" min="8" max="8" width="55.0"/>
    <col customWidth="1" min="9" max="9" width="18.0"/>
    <col customWidth="1" min="10" max="10" width="52.0"/>
    <col customWidth="1" min="11" max="11" width="36.0"/>
    <col customWidth="1" min="12" max="12" width="34.0"/>
    <col customWidth="1" min="13" max="13" width="60.0"/>
    <col customWidth="1" min="14" max="26" width="8.63"/>
  </cols>
  <sheetData>
    <row r="1" ht="39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/>
      <c r="G1" s="2" t="s">
        <v>7</v>
      </c>
      <c r="H1" s="2" t="s">
        <v>8</v>
      </c>
      <c r="I1" s="2" t="s">
        <v>10</v>
      </c>
      <c r="J1" s="2" t="s">
        <v>11</v>
      </c>
      <c r="K1" s="2" t="s">
        <v>14</v>
      </c>
      <c r="L1" s="2" t="s">
        <v>16</v>
      </c>
      <c r="M1" s="2" t="s">
        <v>18</v>
      </c>
    </row>
    <row r="2" ht="61.5" customHeight="1">
      <c r="A2" s="6" t="s">
        <v>21</v>
      </c>
      <c r="B2" s="6" t="s">
        <v>25</v>
      </c>
      <c r="C2" s="6" t="s">
        <v>27</v>
      </c>
      <c r="D2" s="6" t="s">
        <v>29</v>
      </c>
      <c r="E2" s="6" t="s">
        <v>30</v>
      </c>
      <c r="F2" s="6"/>
      <c r="G2" s="6" t="s">
        <v>31</v>
      </c>
      <c r="H2" s="6" t="s">
        <v>33</v>
      </c>
      <c r="I2" s="6" t="s">
        <v>34</v>
      </c>
      <c r="J2" s="6" t="s">
        <v>37</v>
      </c>
      <c r="K2" s="6" t="s">
        <v>22</v>
      </c>
      <c r="L2" s="6" t="s">
        <v>39</v>
      </c>
      <c r="M2" s="6" t="s">
        <v>41</v>
      </c>
    </row>
    <row r="3" ht="61.5" customHeight="1">
      <c r="A3" s="6" t="s">
        <v>45</v>
      </c>
      <c r="B3" s="6" t="s">
        <v>47</v>
      </c>
      <c r="C3" s="6" t="s">
        <v>50</v>
      </c>
      <c r="D3" s="6" t="s">
        <v>51</v>
      </c>
      <c r="E3" s="6" t="s">
        <v>52</v>
      </c>
      <c r="F3" s="6"/>
      <c r="G3" s="6" t="s">
        <v>53</v>
      </c>
      <c r="H3" s="6" t="s">
        <v>56</v>
      </c>
      <c r="I3" s="6" t="s">
        <v>57</v>
      </c>
      <c r="J3" s="6" t="s">
        <v>59</v>
      </c>
      <c r="K3" s="6" t="s">
        <v>61</v>
      </c>
      <c r="L3" s="6" t="s">
        <v>39</v>
      </c>
      <c r="M3" s="6" t="s">
        <v>63</v>
      </c>
    </row>
    <row r="4" ht="61.5" customHeight="1">
      <c r="A4" s="6" t="s">
        <v>45</v>
      </c>
      <c r="B4" s="6" t="s">
        <v>65</v>
      </c>
      <c r="C4" s="6" t="s">
        <v>66</v>
      </c>
      <c r="D4" s="6" t="s">
        <v>68</v>
      </c>
      <c r="E4" s="6" t="s">
        <v>52</v>
      </c>
      <c r="F4" s="6"/>
      <c r="G4" s="6" t="s">
        <v>53</v>
      </c>
      <c r="H4" s="6" t="s">
        <v>72</v>
      </c>
      <c r="I4" s="6" t="s">
        <v>74</v>
      </c>
      <c r="J4" s="6" t="s">
        <v>76</v>
      </c>
      <c r="K4" s="6" t="s">
        <v>61</v>
      </c>
      <c r="L4" s="6" t="s">
        <v>39</v>
      </c>
      <c r="M4" s="6" t="s">
        <v>79</v>
      </c>
    </row>
    <row r="5" ht="61.5" customHeight="1">
      <c r="A5" s="6" t="s">
        <v>45</v>
      </c>
      <c r="B5" s="6" t="s">
        <v>25</v>
      </c>
      <c r="C5" s="6" t="s">
        <v>81</v>
      </c>
      <c r="D5" s="6" t="s">
        <v>30</v>
      </c>
      <c r="E5" s="6" t="s">
        <v>30</v>
      </c>
      <c r="F5" s="6"/>
      <c r="G5" s="6" t="s">
        <v>84</v>
      </c>
      <c r="H5" s="6" t="s">
        <v>85</v>
      </c>
      <c r="I5" s="6" t="s">
        <v>86</v>
      </c>
      <c r="J5" s="6" t="s">
        <v>88</v>
      </c>
      <c r="K5" s="6" t="s">
        <v>22</v>
      </c>
      <c r="L5" s="6" t="s">
        <v>39</v>
      </c>
      <c r="M5" s="6" t="s">
        <v>91</v>
      </c>
    </row>
    <row r="6" ht="61.5" customHeight="1">
      <c r="A6" s="6" t="s">
        <v>21</v>
      </c>
      <c r="B6" s="6" t="s">
        <v>25</v>
      </c>
      <c r="C6" s="6" t="s">
        <v>93</v>
      </c>
      <c r="D6" s="6" t="s">
        <v>30</v>
      </c>
      <c r="E6" s="6" t="s">
        <v>30</v>
      </c>
      <c r="F6" s="6"/>
      <c r="G6" s="6" t="s">
        <v>95</v>
      </c>
      <c r="H6" s="6" t="s">
        <v>96</v>
      </c>
      <c r="I6" s="6" t="s">
        <v>97</v>
      </c>
      <c r="J6" s="6" t="s">
        <v>99</v>
      </c>
      <c r="K6" s="6" t="s">
        <v>22</v>
      </c>
      <c r="L6" s="6" t="s">
        <v>39</v>
      </c>
      <c r="M6" s="6" t="s">
        <v>100</v>
      </c>
    </row>
    <row r="7" ht="61.5" customHeight="1">
      <c r="A7" s="6" t="s">
        <v>21</v>
      </c>
      <c r="B7" s="6" t="s">
        <v>25</v>
      </c>
      <c r="C7" s="6" t="s">
        <v>103</v>
      </c>
      <c r="D7" s="6" t="s">
        <v>30</v>
      </c>
      <c r="E7" s="6" t="s">
        <v>30</v>
      </c>
      <c r="F7" s="6"/>
      <c r="G7" s="6" t="s">
        <v>106</v>
      </c>
      <c r="H7" s="6" t="s">
        <v>107</v>
      </c>
      <c r="I7" s="6" t="s">
        <v>108</v>
      </c>
      <c r="J7" s="6" t="s">
        <v>110</v>
      </c>
      <c r="K7" s="6" t="s">
        <v>22</v>
      </c>
      <c r="L7" s="6" t="s">
        <v>39</v>
      </c>
      <c r="M7" s="6" t="s">
        <v>111</v>
      </c>
    </row>
    <row r="8" ht="61.5" customHeight="1">
      <c r="A8" s="6" t="s">
        <v>21</v>
      </c>
      <c r="B8" s="6" t="s">
        <v>25</v>
      </c>
      <c r="C8" s="6" t="s">
        <v>113</v>
      </c>
      <c r="D8" s="6" t="s">
        <v>30</v>
      </c>
      <c r="E8" s="6" t="s">
        <v>114</v>
      </c>
      <c r="F8" s="6"/>
      <c r="G8" s="6" t="s">
        <v>115</v>
      </c>
      <c r="H8" s="6" t="s">
        <v>117</v>
      </c>
      <c r="I8" s="6" t="s">
        <v>119</v>
      </c>
      <c r="J8" s="6" t="s">
        <v>121</v>
      </c>
      <c r="K8" s="6" t="s">
        <v>22</v>
      </c>
      <c r="L8" s="6" t="s">
        <v>39</v>
      </c>
      <c r="M8" s="6" t="s">
        <v>123</v>
      </c>
    </row>
    <row r="9" ht="61.5" customHeight="1">
      <c r="A9" s="6" t="s">
        <v>21</v>
      </c>
      <c r="B9" s="6" t="s">
        <v>25</v>
      </c>
      <c r="C9" s="6" t="s">
        <v>125</v>
      </c>
      <c r="D9" s="6" t="s">
        <v>30</v>
      </c>
      <c r="E9" s="6" t="s">
        <v>130</v>
      </c>
      <c r="F9" s="6"/>
      <c r="G9" s="6" t="s">
        <v>133</v>
      </c>
      <c r="H9" s="6" t="s">
        <v>134</v>
      </c>
      <c r="I9" s="6" t="s">
        <v>136</v>
      </c>
      <c r="J9" s="6" t="s">
        <v>137</v>
      </c>
      <c r="K9" s="6" t="s">
        <v>22</v>
      </c>
      <c r="L9" s="6" t="s">
        <v>39</v>
      </c>
      <c r="M9" s="6" t="s">
        <v>138</v>
      </c>
    </row>
    <row r="10" ht="61.5" customHeight="1">
      <c r="A10" s="6" t="s">
        <v>21</v>
      </c>
      <c r="B10" s="6" t="s">
        <v>25</v>
      </c>
      <c r="C10" s="6" t="s">
        <v>141</v>
      </c>
      <c r="D10" s="6" t="s">
        <v>30</v>
      </c>
      <c r="E10" s="6" t="s">
        <v>30</v>
      </c>
      <c r="F10" s="6"/>
      <c r="G10" s="6" t="s">
        <v>142</v>
      </c>
      <c r="H10" s="6" t="s">
        <v>143</v>
      </c>
      <c r="I10" s="6" t="s">
        <v>145</v>
      </c>
      <c r="J10" s="6" t="s">
        <v>146</v>
      </c>
      <c r="K10" s="6" t="s">
        <v>22</v>
      </c>
      <c r="L10" s="6" t="s">
        <v>39</v>
      </c>
      <c r="M10" s="6" t="s">
        <v>150</v>
      </c>
    </row>
    <row r="11" ht="61.5" customHeight="1">
      <c r="A11" s="6" t="s">
        <v>21</v>
      </c>
      <c r="B11" s="6" t="s">
        <v>25</v>
      </c>
      <c r="C11" s="6" t="s">
        <v>152</v>
      </c>
      <c r="D11" s="6" t="s">
        <v>30</v>
      </c>
      <c r="E11" s="6" t="s">
        <v>30</v>
      </c>
      <c r="F11" s="6"/>
      <c r="G11" s="6" t="s">
        <v>154</v>
      </c>
      <c r="H11" s="6" t="s">
        <v>155</v>
      </c>
      <c r="I11" s="6" t="s">
        <v>157</v>
      </c>
      <c r="J11" s="6" t="s">
        <v>158</v>
      </c>
      <c r="K11" s="6" t="s">
        <v>22</v>
      </c>
      <c r="L11" s="6" t="s">
        <v>39</v>
      </c>
      <c r="M11" s="6" t="s">
        <v>162</v>
      </c>
    </row>
    <row r="12" ht="61.5" customHeight="1">
      <c r="A12" s="6" t="s">
        <v>21</v>
      </c>
      <c r="B12" s="6" t="s">
        <v>25</v>
      </c>
      <c r="C12" s="6" t="s">
        <v>165</v>
      </c>
      <c r="D12" s="6" t="s">
        <v>30</v>
      </c>
      <c r="E12" s="6" t="s">
        <v>30</v>
      </c>
      <c r="F12" s="6"/>
      <c r="G12" s="6" t="s">
        <v>168</v>
      </c>
      <c r="H12" s="6" t="s">
        <v>169</v>
      </c>
      <c r="I12" s="6" t="s">
        <v>170</v>
      </c>
      <c r="J12" s="6" t="s">
        <v>172</v>
      </c>
      <c r="K12" s="6" t="s">
        <v>22</v>
      </c>
      <c r="L12" s="6" t="s">
        <v>39</v>
      </c>
      <c r="M12" s="6" t="s">
        <v>173</v>
      </c>
    </row>
    <row r="13" ht="61.5" customHeight="1">
      <c r="A13" s="6" t="s">
        <v>21</v>
      </c>
      <c r="B13" s="6" t="s">
        <v>25</v>
      </c>
      <c r="C13" s="6" t="s">
        <v>175</v>
      </c>
      <c r="D13" s="6" t="s">
        <v>30</v>
      </c>
      <c r="E13" s="6" t="s">
        <v>30</v>
      </c>
      <c r="F13" s="6"/>
      <c r="G13" s="6" t="s">
        <v>142</v>
      </c>
      <c r="H13" s="6" t="s">
        <v>180</v>
      </c>
      <c r="I13" s="6" t="s">
        <v>182</v>
      </c>
      <c r="J13" s="6" t="s">
        <v>183</v>
      </c>
      <c r="K13" s="6" t="s">
        <v>22</v>
      </c>
      <c r="L13" s="6" t="s">
        <v>39</v>
      </c>
      <c r="M13" s="6" t="s">
        <v>185</v>
      </c>
    </row>
    <row r="14" ht="61.5" customHeight="1">
      <c r="A14" s="6" t="s">
        <v>21</v>
      </c>
      <c r="B14" s="6" t="s">
        <v>25</v>
      </c>
      <c r="C14" s="6" t="s">
        <v>186</v>
      </c>
      <c r="D14" s="6" t="s">
        <v>30</v>
      </c>
      <c r="E14" s="6" t="s">
        <v>30</v>
      </c>
      <c r="F14" s="6"/>
      <c r="G14" s="6" t="s">
        <v>188</v>
      </c>
      <c r="H14" s="6" t="s">
        <v>189</v>
      </c>
      <c r="I14" s="6" t="s">
        <v>190</v>
      </c>
      <c r="J14" s="6" t="s">
        <v>191</v>
      </c>
      <c r="K14" s="6" t="s">
        <v>22</v>
      </c>
      <c r="L14" s="6" t="s">
        <v>39</v>
      </c>
      <c r="M14" s="6" t="s">
        <v>194</v>
      </c>
    </row>
    <row r="15" ht="61.5" customHeight="1">
      <c r="A15" s="6" t="s">
        <v>21</v>
      </c>
      <c r="B15" s="6" t="s">
        <v>25</v>
      </c>
      <c r="C15" s="6" t="s">
        <v>196</v>
      </c>
      <c r="D15" s="6" t="s">
        <v>30</v>
      </c>
      <c r="E15" s="6" t="s">
        <v>30</v>
      </c>
      <c r="F15" s="6"/>
      <c r="G15" s="6" t="s">
        <v>198</v>
      </c>
      <c r="H15" s="6" t="s">
        <v>199</v>
      </c>
      <c r="I15" s="6" t="s">
        <v>200</v>
      </c>
      <c r="J15" s="6" t="s">
        <v>201</v>
      </c>
      <c r="K15" s="6" t="s">
        <v>22</v>
      </c>
      <c r="L15" s="6" t="s">
        <v>39</v>
      </c>
      <c r="M15" s="6" t="s">
        <v>202</v>
      </c>
    </row>
    <row r="16" ht="61.5" customHeight="1">
      <c r="A16" s="6" t="s">
        <v>21</v>
      </c>
      <c r="B16" s="6" t="s">
        <v>25</v>
      </c>
      <c r="C16" s="6" t="s">
        <v>126</v>
      </c>
      <c r="D16" s="6" t="s">
        <v>30</v>
      </c>
      <c r="E16" s="6" t="s">
        <v>30</v>
      </c>
      <c r="F16" s="6"/>
      <c r="G16" s="6" t="s">
        <v>127</v>
      </c>
      <c r="H16" s="6" t="s">
        <v>128</v>
      </c>
      <c r="I16" s="6" t="s">
        <v>129</v>
      </c>
      <c r="J16" s="6" t="s">
        <v>131</v>
      </c>
      <c r="K16" s="6" t="s">
        <v>132</v>
      </c>
      <c r="L16" s="6" t="s">
        <v>39</v>
      </c>
      <c r="M16" s="6" t="s">
        <v>135</v>
      </c>
    </row>
    <row r="17" ht="61.5" customHeight="1">
      <c r="A17" s="6" t="s">
        <v>21</v>
      </c>
      <c r="B17" s="6" t="s">
        <v>25</v>
      </c>
      <c r="C17" s="6" t="s">
        <v>203</v>
      </c>
      <c r="D17" s="6" t="s">
        <v>30</v>
      </c>
      <c r="E17" s="6" t="s">
        <v>30</v>
      </c>
      <c r="F17" s="6"/>
      <c r="G17" s="6" t="s">
        <v>204</v>
      </c>
      <c r="H17" s="6" t="s">
        <v>205</v>
      </c>
      <c r="I17" s="6" t="s">
        <v>206</v>
      </c>
      <c r="J17" s="6" t="s">
        <v>207</v>
      </c>
      <c r="K17" s="6" t="s">
        <v>22</v>
      </c>
      <c r="L17" s="6" t="s">
        <v>39</v>
      </c>
      <c r="M17" s="6" t="s">
        <v>208</v>
      </c>
    </row>
    <row r="18" ht="61.5" customHeight="1">
      <c r="A18" s="6" t="s">
        <v>21</v>
      </c>
      <c r="B18" s="6" t="s">
        <v>25</v>
      </c>
      <c r="C18" s="6" t="s">
        <v>209</v>
      </c>
      <c r="D18" s="6" t="s">
        <v>30</v>
      </c>
      <c r="E18" s="6" t="s">
        <v>30</v>
      </c>
      <c r="F18" s="6"/>
      <c r="G18" s="6" t="s">
        <v>210</v>
      </c>
      <c r="H18" s="6" t="s">
        <v>211</v>
      </c>
      <c r="I18" s="6" t="s">
        <v>212</v>
      </c>
      <c r="J18" s="6" t="s">
        <v>213</v>
      </c>
      <c r="K18" s="6" t="s">
        <v>22</v>
      </c>
      <c r="L18" s="6" t="s">
        <v>39</v>
      </c>
      <c r="M18" s="6" t="s">
        <v>214</v>
      </c>
    </row>
    <row r="19" ht="61.5" customHeight="1">
      <c r="A19" s="6" t="s">
        <v>21</v>
      </c>
      <c r="B19" s="6" t="s">
        <v>25</v>
      </c>
      <c r="C19" s="6" t="s">
        <v>215</v>
      </c>
      <c r="D19" s="6" t="s">
        <v>30</v>
      </c>
      <c r="E19" s="6" t="s">
        <v>30</v>
      </c>
      <c r="F19" s="6"/>
      <c r="G19" s="6" t="s">
        <v>216</v>
      </c>
      <c r="H19" s="6" t="s">
        <v>217</v>
      </c>
      <c r="I19" s="6" t="s">
        <v>218</v>
      </c>
      <c r="J19" s="6" t="s">
        <v>219</v>
      </c>
      <c r="K19" s="6" t="s">
        <v>22</v>
      </c>
      <c r="L19" s="6" t="s">
        <v>39</v>
      </c>
      <c r="M19" s="6" t="s">
        <v>220</v>
      </c>
    </row>
    <row r="20" ht="61.5" customHeight="1">
      <c r="A20" s="6" t="s">
        <v>45</v>
      </c>
      <c r="B20" s="6" t="s">
        <v>25</v>
      </c>
      <c r="C20" s="6" t="s">
        <v>221</v>
      </c>
      <c r="D20" s="6" t="s">
        <v>30</v>
      </c>
      <c r="E20" s="6" t="s">
        <v>30</v>
      </c>
      <c r="F20" s="6"/>
      <c r="G20" s="6" t="s">
        <v>222</v>
      </c>
      <c r="H20" s="6" t="s">
        <v>223</v>
      </c>
      <c r="I20" s="6" t="s">
        <v>224</v>
      </c>
      <c r="J20" s="6" t="s">
        <v>225</v>
      </c>
      <c r="K20" s="6" t="s">
        <v>22</v>
      </c>
      <c r="L20" s="6" t="s">
        <v>151</v>
      </c>
      <c r="M20" s="6" t="s">
        <v>226</v>
      </c>
    </row>
    <row r="21" ht="61.5" customHeight="1">
      <c r="A21" s="6" t="s">
        <v>45</v>
      </c>
      <c r="B21" s="6" t="s">
        <v>25</v>
      </c>
      <c r="C21" s="6" t="s">
        <v>227</v>
      </c>
      <c r="D21" s="6" t="s">
        <v>30</v>
      </c>
      <c r="E21" s="6" t="s">
        <v>228</v>
      </c>
      <c r="F21" s="6"/>
      <c r="G21" s="6" t="s">
        <v>229</v>
      </c>
      <c r="H21" s="6" t="s">
        <v>230</v>
      </c>
      <c r="I21" s="6" t="s">
        <v>231</v>
      </c>
      <c r="J21" s="6" t="s">
        <v>232</v>
      </c>
      <c r="K21" s="6" t="s">
        <v>22</v>
      </c>
      <c r="L21" s="6" t="s">
        <v>151</v>
      </c>
      <c r="M21" s="6" t="s">
        <v>233</v>
      </c>
    </row>
    <row r="22" ht="61.5" customHeight="1">
      <c r="A22" s="6" t="s">
        <v>45</v>
      </c>
      <c r="B22" s="6" t="s">
        <v>25</v>
      </c>
      <c r="C22" s="6" t="s">
        <v>234</v>
      </c>
      <c r="D22" s="6" t="s">
        <v>30</v>
      </c>
      <c r="E22" s="6" t="s">
        <v>235</v>
      </c>
      <c r="F22" s="6"/>
      <c r="G22" s="6" t="s">
        <v>236</v>
      </c>
      <c r="H22" s="6" t="s">
        <v>237</v>
      </c>
      <c r="I22" s="6" t="s">
        <v>238</v>
      </c>
      <c r="J22" s="6" t="s">
        <v>239</v>
      </c>
      <c r="K22" s="6" t="s">
        <v>22</v>
      </c>
      <c r="L22" s="6" t="s">
        <v>151</v>
      </c>
      <c r="M22" s="6" t="s">
        <v>240</v>
      </c>
    </row>
    <row r="23" ht="61.5" customHeight="1">
      <c r="A23" s="6" t="s">
        <v>45</v>
      </c>
      <c r="B23" s="6" t="s">
        <v>25</v>
      </c>
      <c r="C23" s="6" t="s">
        <v>241</v>
      </c>
      <c r="D23" s="6" t="s">
        <v>30</v>
      </c>
      <c r="E23" s="6" t="s">
        <v>242</v>
      </c>
      <c r="F23" s="6"/>
      <c r="G23" s="6" t="s">
        <v>243</v>
      </c>
      <c r="H23" s="6" t="s">
        <v>244</v>
      </c>
      <c r="I23" s="6" t="s">
        <v>245</v>
      </c>
      <c r="J23" s="6" t="s">
        <v>246</v>
      </c>
      <c r="K23" s="6" t="s">
        <v>22</v>
      </c>
      <c r="L23" s="6" t="s">
        <v>151</v>
      </c>
      <c r="M23" s="6" t="s">
        <v>247</v>
      </c>
    </row>
    <row r="24" ht="61.5" customHeight="1">
      <c r="A24" s="6" t="s">
        <v>45</v>
      </c>
      <c r="B24" s="6" t="s">
        <v>25</v>
      </c>
      <c r="C24" s="6" t="s">
        <v>248</v>
      </c>
      <c r="D24" s="6" t="s">
        <v>30</v>
      </c>
      <c r="E24" s="6" t="s">
        <v>30</v>
      </c>
      <c r="F24" s="6"/>
      <c r="G24" s="6" t="s">
        <v>249</v>
      </c>
      <c r="H24" s="6" t="s">
        <v>250</v>
      </c>
      <c r="I24" s="6" t="s">
        <v>251</v>
      </c>
      <c r="J24" s="6" t="s">
        <v>252</v>
      </c>
      <c r="K24" s="6" t="s">
        <v>253</v>
      </c>
      <c r="L24" s="6" t="s">
        <v>151</v>
      </c>
      <c r="M24" s="6" t="s">
        <v>254</v>
      </c>
    </row>
    <row r="25" ht="61.5" customHeight="1">
      <c r="A25" s="6" t="s">
        <v>45</v>
      </c>
      <c r="B25" s="6" t="s">
        <v>25</v>
      </c>
      <c r="C25" s="6" t="s">
        <v>255</v>
      </c>
      <c r="D25" s="6" t="s">
        <v>30</v>
      </c>
      <c r="E25" s="6" t="s">
        <v>30</v>
      </c>
      <c r="F25" s="6"/>
      <c r="G25" s="6" t="s">
        <v>236</v>
      </c>
      <c r="H25" s="6" t="s">
        <v>256</v>
      </c>
      <c r="I25" s="6" t="s">
        <v>257</v>
      </c>
      <c r="J25" s="6" t="s">
        <v>258</v>
      </c>
      <c r="K25" s="6" t="s">
        <v>22</v>
      </c>
      <c r="L25" s="6" t="s">
        <v>151</v>
      </c>
      <c r="M25" s="6" t="s">
        <v>259</v>
      </c>
    </row>
    <row r="26" ht="61.5" customHeight="1">
      <c r="A26" s="6" t="s">
        <v>45</v>
      </c>
      <c r="B26" s="6" t="s">
        <v>25</v>
      </c>
      <c r="C26" s="6" t="s">
        <v>260</v>
      </c>
      <c r="D26" s="6" t="s">
        <v>30</v>
      </c>
      <c r="E26" s="6" t="s">
        <v>30</v>
      </c>
      <c r="F26" s="6"/>
      <c r="G26" s="6" t="s">
        <v>249</v>
      </c>
      <c r="H26" s="6" t="s">
        <v>261</v>
      </c>
      <c r="I26" s="6" t="s">
        <v>262</v>
      </c>
      <c r="J26" s="6" t="s">
        <v>263</v>
      </c>
      <c r="K26" s="6" t="s">
        <v>253</v>
      </c>
      <c r="L26" s="6" t="s">
        <v>151</v>
      </c>
      <c r="M26" s="6" t="s">
        <v>264</v>
      </c>
    </row>
    <row r="27" ht="61.5" customHeight="1">
      <c r="A27" s="6" t="s">
        <v>45</v>
      </c>
      <c r="B27" s="6" t="s">
        <v>25</v>
      </c>
      <c r="C27" s="6" t="s">
        <v>265</v>
      </c>
      <c r="D27" s="6" t="s">
        <v>30</v>
      </c>
      <c r="E27" s="6" t="s">
        <v>30</v>
      </c>
      <c r="F27" s="6"/>
      <c r="G27" s="6" t="s">
        <v>266</v>
      </c>
      <c r="H27" s="6" t="s">
        <v>267</v>
      </c>
      <c r="I27" s="6" t="s">
        <v>268</v>
      </c>
      <c r="J27" s="6" t="s">
        <v>269</v>
      </c>
      <c r="K27" s="6" t="s">
        <v>22</v>
      </c>
      <c r="L27" s="6" t="s">
        <v>151</v>
      </c>
      <c r="M27" s="6" t="s">
        <v>270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27">
    <cfRule type="expression" dxfId="4" priority="1">
      <formula>ISNUMBER(SEARCH("andamento",E2))</formula>
    </cfRule>
  </conditionalFormatting>
  <conditionalFormatting sqref="K2:K27">
    <cfRule type="expression" dxfId="5" priority="2">
      <formula>ISNUMBER(SEARCH("ÁGUA",K2))</formula>
    </cfRule>
  </conditionalFormatting>
  <conditionalFormatting sqref="K2:K27">
    <cfRule type="expression" dxfId="6" priority="3">
      <formula>ISNUMBER(SEARCH("ELABORAÇÃO",K2))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8.0"/>
    <col customWidth="1" min="3" max="3" width="42.0"/>
    <col customWidth="1" min="4" max="5" width="18.0"/>
    <col customWidth="1" min="6" max="6" width="4.0"/>
    <col customWidth="1" min="7" max="7" width="30.0"/>
    <col customWidth="1" min="8" max="8" width="55.0"/>
    <col customWidth="1" min="9" max="9" width="18.0"/>
    <col customWidth="1" min="10" max="10" width="52.0"/>
    <col customWidth="1" min="11" max="11" width="36.0"/>
    <col customWidth="1" min="12" max="12" width="34.0"/>
    <col customWidth="1" min="13" max="13" width="60.0"/>
    <col customWidth="1" min="14" max="26" width="8.63"/>
  </cols>
  <sheetData>
    <row r="1" ht="39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/>
      <c r="G1" s="2" t="s">
        <v>7</v>
      </c>
      <c r="H1" s="2" t="s">
        <v>8</v>
      </c>
      <c r="I1" s="2" t="s">
        <v>10</v>
      </c>
      <c r="J1" s="2" t="s">
        <v>11</v>
      </c>
      <c r="K1" s="2" t="s">
        <v>14</v>
      </c>
      <c r="L1" s="2" t="s">
        <v>16</v>
      </c>
      <c r="M1" s="2" t="s">
        <v>18</v>
      </c>
    </row>
    <row r="2" ht="61.5" customHeight="1">
      <c r="A2" s="6" t="s">
        <v>21</v>
      </c>
      <c r="B2" s="6" t="s">
        <v>25</v>
      </c>
      <c r="C2" s="6" t="s">
        <v>36</v>
      </c>
      <c r="D2" s="6" t="s">
        <v>30</v>
      </c>
      <c r="E2" s="6" t="s">
        <v>30</v>
      </c>
      <c r="F2" s="6"/>
      <c r="G2" s="6" t="s">
        <v>40</v>
      </c>
      <c r="H2" s="6" t="s">
        <v>43</v>
      </c>
      <c r="I2" s="6" t="s">
        <v>44</v>
      </c>
      <c r="J2" s="6" t="s">
        <v>48</v>
      </c>
      <c r="K2" s="6" t="s">
        <v>32</v>
      </c>
      <c r="L2" s="6" t="s">
        <v>39</v>
      </c>
      <c r="M2" s="6" t="s">
        <v>54</v>
      </c>
    </row>
    <row r="3" ht="61.5" customHeight="1">
      <c r="A3" s="6" t="s">
        <v>21</v>
      </c>
      <c r="B3" s="6" t="s">
        <v>25</v>
      </c>
      <c r="C3" s="6" t="s">
        <v>62</v>
      </c>
      <c r="D3" s="6" t="s">
        <v>30</v>
      </c>
      <c r="E3" s="6" t="s">
        <v>30</v>
      </c>
      <c r="F3" s="6"/>
      <c r="G3" s="6" t="s">
        <v>40</v>
      </c>
      <c r="H3" s="6" t="s">
        <v>70</v>
      </c>
      <c r="I3" s="6" t="s">
        <v>71</v>
      </c>
      <c r="J3" s="6" t="s">
        <v>73</v>
      </c>
      <c r="K3" s="6" t="s">
        <v>32</v>
      </c>
      <c r="L3" s="6" t="s">
        <v>39</v>
      </c>
      <c r="M3" s="6" t="s">
        <v>80</v>
      </c>
    </row>
    <row r="4" ht="61.5" customHeight="1">
      <c r="A4" s="6" t="s">
        <v>21</v>
      </c>
      <c r="B4" s="6" t="s">
        <v>25</v>
      </c>
      <c r="C4" s="6" t="s">
        <v>82</v>
      </c>
      <c r="D4" s="6" t="s">
        <v>30</v>
      </c>
      <c r="E4" s="6" t="s">
        <v>30</v>
      </c>
      <c r="F4" s="6"/>
      <c r="G4" s="6" t="s">
        <v>87</v>
      </c>
      <c r="H4" s="6" t="s">
        <v>89</v>
      </c>
      <c r="I4" s="6" t="s">
        <v>90</v>
      </c>
      <c r="J4" s="6" t="s">
        <v>92</v>
      </c>
      <c r="K4" s="6" t="s">
        <v>32</v>
      </c>
      <c r="L4" s="6" t="s">
        <v>39</v>
      </c>
      <c r="M4" s="6" t="s">
        <v>94</v>
      </c>
    </row>
    <row r="5" ht="61.5" customHeight="1">
      <c r="A5" s="6" t="s">
        <v>21</v>
      </c>
      <c r="B5" s="6" t="s">
        <v>25</v>
      </c>
      <c r="C5" s="6" t="s">
        <v>98</v>
      </c>
      <c r="D5" s="6" t="s">
        <v>30</v>
      </c>
      <c r="E5" s="6" t="s">
        <v>30</v>
      </c>
      <c r="F5" s="6"/>
      <c r="G5" s="6" t="s">
        <v>101</v>
      </c>
      <c r="H5" s="6" t="s">
        <v>102</v>
      </c>
      <c r="I5" s="6" t="s">
        <v>104</v>
      </c>
      <c r="J5" s="6" t="s">
        <v>105</v>
      </c>
      <c r="K5" s="6" t="s">
        <v>32</v>
      </c>
      <c r="L5" s="6" t="s">
        <v>39</v>
      </c>
      <c r="M5" s="6" t="s">
        <v>109</v>
      </c>
    </row>
    <row r="6" ht="61.5" customHeight="1">
      <c r="A6" s="6" t="s">
        <v>21</v>
      </c>
      <c r="B6" s="6" t="s">
        <v>25</v>
      </c>
      <c r="C6" s="6" t="s">
        <v>112</v>
      </c>
      <c r="D6" s="6" t="s">
        <v>30</v>
      </c>
      <c r="E6" s="6" t="s">
        <v>30</v>
      </c>
      <c r="F6" s="6"/>
      <c r="G6" s="6" t="s">
        <v>116</v>
      </c>
      <c r="H6" s="6" t="s">
        <v>118</v>
      </c>
      <c r="I6" s="6" t="s">
        <v>120</v>
      </c>
      <c r="J6" s="6" t="s">
        <v>122</v>
      </c>
      <c r="K6" s="6" t="s">
        <v>32</v>
      </c>
      <c r="L6" s="6" t="s">
        <v>39</v>
      </c>
      <c r="M6" s="6" t="s">
        <v>124</v>
      </c>
    </row>
    <row r="7" ht="61.5" customHeight="1">
      <c r="A7" s="6" t="s">
        <v>21</v>
      </c>
      <c r="B7" s="6" t="s">
        <v>25</v>
      </c>
      <c r="C7" s="6" t="s">
        <v>126</v>
      </c>
      <c r="D7" s="6" t="s">
        <v>30</v>
      </c>
      <c r="E7" s="6" t="s">
        <v>30</v>
      </c>
      <c r="F7" s="6"/>
      <c r="G7" s="6" t="s">
        <v>127</v>
      </c>
      <c r="H7" s="6" t="s">
        <v>128</v>
      </c>
      <c r="I7" s="6" t="s">
        <v>129</v>
      </c>
      <c r="J7" s="6" t="s">
        <v>131</v>
      </c>
      <c r="K7" s="6" t="s">
        <v>132</v>
      </c>
      <c r="L7" s="6" t="s">
        <v>39</v>
      </c>
      <c r="M7" s="6" t="s">
        <v>135</v>
      </c>
    </row>
    <row r="8" ht="61.5" customHeight="1">
      <c r="A8" s="6" t="s">
        <v>45</v>
      </c>
      <c r="B8" s="6" t="s">
        <v>25</v>
      </c>
      <c r="C8" s="6" t="s">
        <v>139</v>
      </c>
      <c r="D8" s="6" t="s">
        <v>140</v>
      </c>
      <c r="E8" s="6" t="s">
        <v>30</v>
      </c>
      <c r="F8" s="6"/>
      <c r="G8" s="6" t="s">
        <v>144</v>
      </c>
      <c r="H8" s="6" t="s">
        <v>147</v>
      </c>
      <c r="I8" s="6" t="s">
        <v>148</v>
      </c>
      <c r="J8" s="6" t="s">
        <v>149</v>
      </c>
      <c r="K8" s="6" t="s">
        <v>32</v>
      </c>
      <c r="L8" s="6" t="s">
        <v>151</v>
      </c>
      <c r="M8" s="6" t="s">
        <v>153</v>
      </c>
    </row>
    <row r="9" ht="61.5" customHeight="1">
      <c r="A9" s="6" t="s">
        <v>45</v>
      </c>
      <c r="B9" s="6" t="s">
        <v>156</v>
      </c>
      <c r="C9" s="6" t="s">
        <v>159</v>
      </c>
      <c r="D9" s="6" t="s">
        <v>160</v>
      </c>
      <c r="E9" s="6" t="s">
        <v>161</v>
      </c>
      <c r="F9" s="6"/>
      <c r="G9" s="6" t="s">
        <v>163</v>
      </c>
      <c r="H9" s="6" t="s">
        <v>164</v>
      </c>
      <c r="I9" s="6" t="s">
        <v>166</v>
      </c>
      <c r="J9" s="6" t="s">
        <v>167</v>
      </c>
      <c r="K9" s="6" t="s">
        <v>32</v>
      </c>
      <c r="L9" s="6" t="s">
        <v>151</v>
      </c>
      <c r="M9" s="6" t="s">
        <v>171</v>
      </c>
    </row>
    <row r="10" ht="61.5" customHeight="1">
      <c r="A10" s="6" t="s">
        <v>45</v>
      </c>
      <c r="B10" s="6" t="s">
        <v>25</v>
      </c>
      <c r="C10" s="6" t="s">
        <v>174</v>
      </c>
      <c r="D10" s="6" t="s">
        <v>30</v>
      </c>
      <c r="E10" s="6" t="s">
        <v>176</v>
      </c>
      <c r="F10" s="6"/>
      <c r="G10" s="6" t="s">
        <v>177</v>
      </c>
      <c r="H10" s="6" t="s">
        <v>178</v>
      </c>
      <c r="I10" s="6" t="s">
        <v>179</v>
      </c>
      <c r="J10" s="6" t="s">
        <v>181</v>
      </c>
      <c r="K10" s="6" t="s">
        <v>32</v>
      </c>
      <c r="L10" s="6" t="s">
        <v>151</v>
      </c>
      <c r="M10" s="6" t="s">
        <v>184</v>
      </c>
    </row>
    <row r="11" ht="61.5" customHeight="1">
      <c r="A11" s="6" t="s">
        <v>45</v>
      </c>
      <c r="B11" s="6" t="s">
        <v>25</v>
      </c>
      <c r="C11" s="6" t="s">
        <v>187</v>
      </c>
      <c r="D11" s="6" t="s">
        <v>30</v>
      </c>
      <c r="E11" s="6" t="s">
        <v>161</v>
      </c>
      <c r="F11" s="6"/>
      <c r="G11" s="6" t="s">
        <v>163</v>
      </c>
      <c r="H11" s="6" t="s">
        <v>192</v>
      </c>
      <c r="I11" s="6" t="s">
        <v>193</v>
      </c>
      <c r="J11" s="6" t="s">
        <v>195</v>
      </c>
      <c r="K11" s="6" t="s">
        <v>32</v>
      </c>
      <c r="L11" s="6" t="s">
        <v>151</v>
      </c>
      <c r="M11" s="6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11">
    <cfRule type="expression" dxfId="4" priority="1">
      <formula>ISNUMBER(SEARCH("andamento",E2))</formula>
    </cfRule>
  </conditionalFormatting>
  <conditionalFormatting sqref="K2:K11">
    <cfRule type="expression" dxfId="5" priority="2">
      <formula>ISNUMBER(SEARCH("ÁGUA",K2))</formula>
    </cfRule>
  </conditionalFormatting>
  <conditionalFormatting sqref="K2:K11">
    <cfRule type="expression" dxfId="6" priority="3">
      <formula>ISNUMBER(SEARCH("ELABORAÇÃO",K2))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8.0"/>
    <col customWidth="1" min="3" max="3" width="42.0"/>
    <col customWidth="1" min="4" max="5" width="18.0"/>
    <col customWidth="1" min="6" max="6" width="4.0"/>
    <col customWidth="1" min="7" max="7" width="30.0"/>
    <col customWidth="1" min="8" max="8" width="55.0"/>
    <col customWidth="1" min="9" max="9" width="18.0"/>
    <col customWidth="1" min="10" max="10" width="52.0"/>
    <col customWidth="1" min="11" max="11" width="36.0"/>
    <col customWidth="1" min="12" max="12" width="34.0"/>
    <col customWidth="1" min="13" max="13" width="60.0"/>
    <col customWidth="1" min="14" max="26" width="8.63"/>
  </cols>
  <sheetData>
    <row r="1" ht="39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/>
      <c r="G1" s="2" t="s">
        <v>7</v>
      </c>
      <c r="H1" s="2" t="s">
        <v>8</v>
      </c>
      <c r="I1" s="2" t="s">
        <v>10</v>
      </c>
      <c r="J1" s="2" t="s">
        <v>11</v>
      </c>
      <c r="K1" s="2" t="s">
        <v>14</v>
      </c>
      <c r="L1" s="2" t="s">
        <v>16</v>
      </c>
      <c r="M1" s="2" t="s">
        <v>18</v>
      </c>
    </row>
    <row r="2" ht="61.5" customHeight="1">
      <c r="A2" s="6" t="s">
        <v>30</v>
      </c>
      <c r="B2" s="6" t="s">
        <v>30</v>
      </c>
      <c r="C2" s="6" t="s">
        <v>271</v>
      </c>
      <c r="D2" s="6" t="s">
        <v>30</v>
      </c>
      <c r="E2" s="6" t="s">
        <v>30</v>
      </c>
      <c r="F2" s="6"/>
      <c r="G2" s="6" t="s">
        <v>42</v>
      </c>
      <c r="H2" s="6" t="s">
        <v>272</v>
      </c>
      <c r="I2" s="6" t="s">
        <v>30</v>
      </c>
      <c r="J2" s="6" t="s">
        <v>30</v>
      </c>
      <c r="K2" s="6" t="s">
        <v>42</v>
      </c>
      <c r="L2" s="6" t="s">
        <v>273</v>
      </c>
      <c r="M2" s="6" t="s">
        <v>274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">
    <cfRule type="expression" dxfId="4" priority="1">
      <formula>ISNUMBER(SEARCH("andamento",E2))</formula>
    </cfRule>
  </conditionalFormatting>
  <conditionalFormatting sqref="K2">
    <cfRule type="expression" dxfId="5" priority="2">
      <formula>ISNUMBER(SEARCH("ÁGUA",K2))</formula>
    </cfRule>
  </conditionalFormatting>
  <conditionalFormatting sqref="K2">
    <cfRule type="expression" dxfId="6" priority="3">
      <formula>ISNUMBER(SEARCH("ELABORAÇÃO",K2))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8.0"/>
    <col customWidth="1" min="3" max="3" width="42.0"/>
    <col customWidth="1" min="4" max="5" width="18.0"/>
    <col customWidth="1" min="6" max="6" width="4.0"/>
    <col customWidth="1" min="7" max="7" width="30.0"/>
    <col customWidth="1" min="8" max="8" width="55.0"/>
    <col customWidth="1" min="9" max="9" width="18.0"/>
    <col customWidth="1" min="10" max="10" width="52.0"/>
    <col customWidth="1" min="11" max="11" width="36.0"/>
    <col customWidth="1" min="12" max="12" width="34.0"/>
    <col customWidth="1" min="13" max="13" width="60.0"/>
    <col customWidth="1" min="14" max="26" width="8.63"/>
  </cols>
  <sheetData>
    <row r="1" ht="39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/>
      <c r="G1" s="2" t="s">
        <v>7</v>
      </c>
      <c r="H1" s="2" t="s">
        <v>8</v>
      </c>
      <c r="I1" s="2" t="s">
        <v>10</v>
      </c>
      <c r="J1" s="2" t="s">
        <v>11</v>
      </c>
      <c r="K1" s="2" t="s">
        <v>14</v>
      </c>
      <c r="L1" s="2" t="s">
        <v>16</v>
      </c>
      <c r="M1" s="2" t="s">
        <v>18</v>
      </c>
    </row>
    <row r="2" ht="61.5" customHeight="1">
      <c r="A2" s="6" t="s">
        <v>45</v>
      </c>
      <c r="B2" s="6" t="s">
        <v>25</v>
      </c>
      <c r="C2" s="6" t="s">
        <v>248</v>
      </c>
      <c r="D2" s="6" t="s">
        <v>30</v>
      </c>
      <c r="E2" s="6" t="s">
        <v>30</v>
      </c>
      <c r="F2" s="6"/>
      <c r="G2" s="6" t="s">
        <v>249</v>
      </c>
      <c r="H2" s="6" t="s">
        <v>250</v>
      </c>
      <c r="I2" s="6" t="s">
        <v>251</v>
      </c>
      <c r="J2" s="6" t="s">
        <v>252</v>
      </c>
      <c r="K2" s="6" t="s">
        <v>253</v>
      </c>
      <c r="L2" s="6" t="s">
        <v>151</v>
      </c>
      <c r="M2" s="6" t="s">
        <v>254</v>
      </c>
    </row>
    <row r="3" ht="61.5" customHeight="1">
      <c r="A3" s="6" t="s">
        <v>45</v>
      </c>
      <c r="B3" s="6" t="s">
        <v>25</v>
      </c>
      <c r="C3" s="6" t="s">
        <v>260</v>
      </c>
      <c r="D3" s="6" t="s">
        <v>30</v>
      </c>
      <c r="E3" s="6" t="s">
        <v>30</v>
      </c>
      <c r="F3" s="6"/>
      <c r="G3" s="6" t="s">
        <v>249</v>
      </c>
      <c r="H3" s="6" t="s">
        <v>261</v>
      </c>
      <c r="I3" s="6" t="s">
        <v>262</v>
      </c>
      <c r="J3" s="6" t="s">
        <v>263</v>
      </c>
      <c r="K3" s="6" t="s">
        <v>253</v>
      </c>
      <c r="L3" s="6" t="s">
        <v>151</v>
      </c>
      <c r="M3" s="6" t="s">
        <v>264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3">
    <cfRule type="expression" dxfId="4" priority="1">
      <formula>ISNUMBER(SEARCH("andamento",E2))</formula>
    </cfRule>
  </conditionalFormatting>
  <conditionalFormatting sqref="K2:K3">
    <cfRule type="expression" dxfId="5" priority="2">
      <formula>ISNUMBER(SEARCH("ÁGUA",K2))</formula>
    </cfRule>
  </conditionalFormatting>
  <conditionalFormatting sqref="K2:K3">
    <cfRule type="expression" dxfId="6" priority="3">
      <formula>ISNUMBER(SEARCH("ELABORAÇÃO",K2))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8.0"/>
    <col customWidth="1" min="3" max="3" width="42.0"/>
    <col customWidth="1" min="4" max="5" width="18.0"/>
    <col customWidth="1" min="6" max="6" width="4.0"/>
    <col customWidth="1" min="7" max="7" width="30.0"/>
    <col customWidth="1" min="8" max="8" width="55.0"/>
    <col customWidth="1" min="9" max="9" width="18.0"/>
    <col customWidth="1" min="10" max="10" width="52.0"/>
    <col customWidth="1" min="11" max="11" width="36.0"/>
    <col customWidth="1" min="12" max="12" width="34.0"/>
    <col customWidth="1" min="13" max="13" width="60.0"/>
    <col customWidth="1" min="14" max="26" width="8.63"/>
  </cols>
  <sheetData>
    <row r="1" ht="39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/>
      <c r="G1" s="2" t="s">
        <v>7</v>
      </c>
      <c r="H1" s="2" t="s">
        <v>8</v>
      </c>
      <c r="I1" s="2" t="s">
        <v>10</v>
      </c>
      <c r="J1" s="2" t="s">
        <v>11</v>
      </c>
      <c r="K1" s="2" t="s">
        <v>14</v>
      </c>
      <c r="L1" s="2" t="s">
        <v>16</v>
      </c>
      <c r="M1" s="2" t="s">
        <v>18</v>
      </c>
    </row>
    <row r="2" ht="61.5" customHeight="1">
      <c r="A2" s="6" t="s">
        <v>30</v>
      </c>
      <c r="B2" s="6" t="s">
        <v>30</v>
      </c>
      <c r="C2" s="6" t="s">
        <v>275</v>
      </c>
      <c r="D2" s="6" t="s">
        <v>30</v>
      </c>
      <c r="E2" s="6" t="s">
        <v>30</v>
      </c>
      <c r="F2" s="6"/>
      <c r="G2" s="9" t="s">
        <v>276</v>
      </c>
      <c r="H2" s="6" t="s">
        <v>272</v>
      </c>
      <c r="I2" s="6" t="s">
        <v>30</v>
      </c>
      <c r="J2" s="6" t="s">
        <v>30</v>
      </c>
      <c r="K2" s="6" t="s">
        <v>64</v>
      </c>
      <c r="L2" s="6" t="s">
        <v>273</v>
      </c>
      <c r="M2" s="6" t="s">
        <v>274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">
    <cfRule type="expression" dxfId="4" priority="1">
      <formula>ISNUMBER(SEARCH("andamento",E2))</formula>
    </cfRule>
  </conditionalFormatting>
  <conditionalFormatting sqref="K2">
    <cfRule type="expression" dxfId="5" priority="2">
      <formula>ISNUMBER(SEARCH("ÁGUA",K2))</formula>
    </cfRule>
  </conditionalFormatting>
  <conditionalFormatting sqref="K2">
    <cfRule type="expression" dxfId="6" priority="3">
      <formula>ISNUMBER(SEARCH("ELABORAÇÃO",K2))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8.0"/>
    <col customWidth="1" min="3" max="3" width="42.0"/>
    <col customWidth="1" min="4" max="5" width="18.0"/>
    <col customWidth="1" min="6" max="6" width="4.0"/>
    <col customWidth="1" min="7" max="7" width="30.0"/>
    <col customWidth="1" min="8" max="8" width="55.0"/>
    <col customWidth="1" min="9" max="9" width="18.0"/>
    <col customWidth="1" min="10" max="10" width="52.0"/>
    <col customWidth="1" min="11" max="11" width="36.0"/>
    <col customWidth="1" min="12" max="12" width="34.0"/>
    <col customWidth="1" min="13" max="13" width="60.0"/>
    <col customWidth="1" min="14" max="26" width="8.63"/>
  </cols>
  <sheetData>
    <row r="1" ht="39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/>
      <c r="G1" s="2" t="s">
        <v>7</v>
      </c>
      <c r="H1" s="2" t="s">
        <v>8</v>
      </c>
      <c r="I1" s="2" t="s">
        <v>10</v>
      </c>
      <c r="J1" s="2" t="s">
        <v>11</v>
      </c>
      <c r="K1" s="2" t="s">
        <v>14</v>
      </c>
      <c r="L1" s="2" t="s">
        <v>16</v>
      </c>
      <c r="M1" s="2" t="s">
        <v>18</v>
      </c>
    </row>
    <row r="2" ht="61.5" customHeight="1">
      <c r="A2" s="6" t="s">
        <v>45</v>
      </c>
      <c r="B2" s="6" t="s">
        <v>47</v>
      </c>
      <c r="C2" s="6" t="s">
        <v>50</v>
      </c>
      <c r="D2" s="6" t="s">
        <v>51</v>
      </c>
      <c r="E2" s="6" t="s">
        <v>52</v>
      </c>
      <c r="F2" s="6"/>
      <c r="G2" s="6" t="s">
        <v>53</v>
      </c>
      <c r="H2" s="6" t="s">
        <v>56</v>
      </c>
      <c r="I2" s="6" t="s">
        <v>57</v>
      </c>
      <c r="J2" s="6" t="s">
        <v>59</v>
      </c>
      <c r="K2" s="6" t="s">
        <v>61</v>
      </c>
      <c r="L2" s="6" t="s">
        <v>39</v>
      </c>
      <c r="M2" s="6" t="s">
        <v>63</v>
      </c>
    </row>
    <row r="3" ht="61.5" customHeight="1">
      <c r="A3" s="6" t="s">
        <v>45</v>
      </c>
      <c r="B3" s="6" t="s">
        <v>65</v>
      </c>
      <c r="C3" s="6" t="s">
        <v>66</v>
      </c>
      <c r="D3" s="6" t="s">
        <v>68</v>
      </c>
      <c r="E3" s="6" t="s">
        <v>52</v>
      </c>
      <c r="F3" s="6"/>
      <c r="G3" s="6" t="s">
        <v>53</v>
      </c>
      <c r="H3" s="6" t="s">
        <v>72</v>
      </c>
      <c r="I3" s="6" t="s">
        <v>74</v>
      </c>
      <c r="J3" s="6" t="s">
        <v>76</v>
      </c>
      <c r="K3" s="6" t="s">
        <v>61</v>
      </c>
      <c r="L3" s="6" t="s">
        <v>39</v>
      </c>
      <c r="M3" s="6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3">
    <cfRule type="expression" dxfId="4" priority="1">
      <formula>ISNUMBER(SEARCH("andamento",E2))</formula>
    </cfRule>
  </conditionalFormatting>
  <conditionalFormatting sqref="K2:K3">
    <cfRule type="expression" dxfId="5" priority="2">
      <formula>ISNUMBER(SEARCH("ÁGUA",K2))</formula>
    </cfRule>
  </conditionalFormatting>
  <conditionalFormatting sqref="K2:K3">
    <cfRule type="expression" dxfId="6" priority="3">
      <formula>ISNUMBER(SEARCH("ELABORAÇÃO",K2))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